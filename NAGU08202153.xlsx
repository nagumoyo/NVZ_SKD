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>
    <definedName name="_xlnm._FilterDatabase" localSheetId="0" hidden="1">'Schedule'!$A$1:$E$450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FFCC"/>
      </patternFill>
    </fill>
    <fill>
      <patternFill patternType="solid">
        <fgColor rgb="00FFEE99"/>
      </patternFill>
    </fill>
    <fill>
      <patternFill patternType="solid">
        <fgColor rgb="FFFF9F9F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養成期</t>
        </is>
      </c>
      <c r="F1" s="2" t="inlineStr">
        <is>
          <t>787 乗員スケジュール</t>
        </is>
      </c>
      <c r="J1" s="3" t="inlineStr">
        <is>
          <t>202507</t>
        </is>
      </c>
    </row>
    <row r="2">
      <c r="A2" s="1" t="inlineStr">
        <is>
          <t>41171-1</t>
        </is>
      </c>
      <c r="B2" s="1" t="inlineStr">
        <is>
          <t>HARADA YU</t>
        </is>
      </c>
      <c r="C2" s="1" t="inlineStr"/>
      <c r="D2" s="1" t="inlineStr">
        <is>
          <t>NTW</t>
        </is>
      </c>
      <c r="E2" s="1" t="n"/>
      <c r="F2" s="4" t="inlineStr">
        <is>
          <t>原田 YU</t>
        </is>
      </c>
      <c r="G2" s="4" t="inlineStr">
        <is>
          <t>YU</t>
        </is>
      </c>
      <c r="H2" s="4" t="inlineStr">
        <is>
          <t>機種：</t>
        </is>
      </c>
      <c r="I2" s="4" t="inlineStr">
        <is>
          <t>787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00041171</t>
        </is>
      </c>
      <c r="O2" s="4" t="inlineStr">
        <is>
          <t>所属：</t>
        </is>
      </c>
      <c r="P2" s="4" t="inlineStr">
        <is>
          <t>NTZNT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3T251007</t>
        </is>
      </c>
      <c r="U2" s="4" t="inlineStr">
        <is>
          <t>L/D：</t>
        </is>
      </c>
      <c r="V2" s="4" t="inlineStr">
        <is>
          <t>3L250823</t>
        </is>
      </c>
      <c r="W2" s="4" t="inlineStr">
        <is>
          <t>PE：</t>
        </is>
      </c>
      <c r="X2" s="5" t="inlineStr">
        <is>
          <t>PE260715</t>
        </is>
      </c>
      <c r="Y2" s="4" t="inlineStr">
        <is>
          <t>誕生月：</t>
        </is>
      </c>
      <c r="Z2" s="4" t="inlineStr">
        <is>
          <t>09</t>
        </is>
      </c>
      <c r="AA2" s="6" t="inlineStr">
        <is>
          <t>電話：</t>
        </is>
      </c>
      <c r="AB2" s="6" t="inlineStr">
        <is>
          <t>080-3200-0959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NTW</t>
        </is>
      </c>
    </row>
    <row r="3">
      <c r="A3" s="1" t="inlineStr">
        <is>
          <t>41171-2</t>
        </is>
      </c>
      <c r="B3" s="1" t="inlineStr">
        <is>
          <t>HARADA YU</t>
        </is>
      </c>
      <c r="C3" s="1" t="inlineStr"/>
      <c r="D3" s="1" t="inlineStr">
        <is>
          <t>NTW</t>
        </is>
      </c>
      <c r="E3" s="1" t="n"/>
      <c r="F3" s="7" t="inlineStr">
        <is>
          <t>01</t>
        </is>
      </c>
      <c r="G3" s="8" t="inlineStr">
        <is>
          <t>02</t>
        </is>
      </c>
      <c r="H3" s="8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7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7" t="inlineStr">
        <is>
          <t>21</t>
        </is>
      </c>
      <c r="AA3" s="7" t="inlineStr">
        <is>
          <t>22</t>
        </is>
      </c>
      <c r="AB3" s="7" t="inlineStr">
        <is>
          <t>23</t>
        </is>
      </c>
      <c r="AC3" s="7" t="inlineStr">
        <is>
          <t>24</t>
        </is>
      </c>
      <c r="AD3" s="8" t="inlineStr">
        <is>
          <t>25</t>
        </is>
      </c>
      <c r="AE3" s="8" t="inlineStr">
        <is>
          <t>26</t>
        </is>
      </c>
      <c r="AF3" s="7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41171-3</t>
        </is>
      </c>
      <c r="B4" s="1" t="inlineStr">
        <is>
          <t>HARADA YU</t>
        </is>
      </c>
      <c r="C4" s="1" t="inlineStr"/>
      <c r="D4" s="1" t="inlineStr">
        <is>
          <t>NTW</t>
        </is>
      </c>
      <c r="E4" s="1" t="n"/>
      <c r="F4" s="9" t="inlineStr">
        <is>
          <t>H</t>
        </is>
      </c>
      <c r="G4" s="9" t="inlineStr">
        <is>
          <t>305
VLDP ISR
308
VLDP ISR
515
VLDP ISR</t>
        </is>
      </c>
      <c r="H4" s="9" t="inlineStr">
        <is>
          <t>514
VLDP ISR
329
VLDP ISR
332
VLDP ISR</t>
        </is>
      </c>
      <c r="I4" s="9" t="inlineStr">
        <is>
          <t>SKM1</t>
        </is>
      </c>
      <c r="J4" s="9" t="inlineStr">
        <is>
          <t>H</t>
        </is>
      </c>
      <c r="K4" s="9" t="inlineStr">
        <is>
          <t>H</t>
        </is>
      </c>
      <c r="L4" s="9" t="inlineStr">
        <is>
          <t>NTW1</t>
        </is>
      </c>
      <c r="M4" s="9" t="inlineStr">
        <is>
          <t>MTG1</t>
        </is>
      </c>
      <c r="N4" s="9" t="inlineStr">
        <is>
          <t>NTZ1</t>
        </is>
      </c>
      <c r="O4" s="9" t="inlineStr">
        <is>
          <t>93
94</t>
        </is>
      </c>
      <c r="P4" s="9" t="inlineStr">
        <is>
          <t>H</t>
        </is>
      </c>
      <c r="Q4" s="9" t="inlineStr">
        <is>
          <t>OTHR
ISR
#2
20:00-22:00</t>
        </is>
      </c>
      <c r="R4" s="9" t="inlineStr">
        <is>
          <t>H</t>
        </is>
      </c>
      <c r="S4" s="9" t="inlineStr">
        <is>
          <t>753</t>
        </is>
      </c>
      <c r="T4" s="9" t="inlineStr">
        <is>
          <t>---</t>
        </is>
      </c>
      <c r="U4" s="9" t="inlineStr">
        <is>
          <t>754</t>
        </is>
      </c>
      <c r="V4" s="9" t="inlineStr">
        <is>
          <t>H/VAC</t>
        </is>
      </c>
      <c r="W4" s="9" t="inlineStr">
        <is>
          <t>*H</t>
        </is>
      </c>
      <c r="X4" s="9" t="inlineStr">
        <is>
          <t>NTW1</t>
        </is>
      </c>
      <c r="Y4" s="9" t="inlineStr">
        <is>
          <t>MTG1</t>
        </is>
      </c>
      <c r="Z4" s="9" t="inlineStr">
        <is>
          <t>MTG1</t>
        </is>
      </c>
      <c r="AA4" s="9" t="inlineStr">
        <is>
          <t>H</t>
        </is>
      </c>
      <c r="AB4" s="9" t="inlineStr">
        <is>
          <t>MMG1</t>
        </is>
      </c>
      <c r="AC4" s="9" t="inlineStr">
        <is>
          <t>PH3
ISR</t>
        </is>
      </c>
      <c r="AD4" s="9" t="inlineStr">
        <is>
          <t>735
CMD ISR</t>
        </is>
      </c>
      <c r="AE4" s="9" t="inlineStr">
        <is>
          <t>26
CMD ISR</t>
        </is>
      </c>
      <c r="AF4" s="9" t="inlineStr">
        <is>
          <t>H</t>
        </is>
      </c>
      <c r="AG4" s="9" t="inlineStr">
        <is>
          <t>H</t>
        </is>
      </c>
      <c r="AH4" s="9" t="inlineStr">
        <is>
          <t>GMT1</t>
        </is>
      </c>
      <c r="AI4" s="9" t="inlineStr">
        <is>
          <t>81
82</t>
        </is>
      </c>
      <c r="AJ4" s="9" t="inlineStr">
        <is>
          <t>GJ0</t>
        </is>
      </c>
    </row>
    <row r="5">
      <c r="A5" s="1" t="inlineStr">
        <is>
          <t>41171-4</t>
        </is>
      </c>
      <c r="B5" s="1" t="inlineStr">
        <is>
          <t>HARADA YU</t>
        </is>
      </c>
      <c r="C5" s="1" t="inlineStr"/>
      <c r="D5" s="1" t="inlineStr">
        <is>
          <t>NTW</t>
        </is>
      </c>
      <c r="E5" s="1" t="n"/>
      <c r="F5" s="9" t="inlineStr"/>
      <c r="G5" s="9">
        <f>HYPERLINK("#Schedule!F366", "OJIMAHI (53822)")</f>
        <v/>
      </c>
      <c r="H5" s="9">
        <f>HYPERLINK("#Schedule!F366", "OJIMAHI (53822)")</f>
        <v/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>
        <f>HYPERLINK("#Schedule!F256", "瀬川 YU (40590)")</f>
        <v/>
      </c>
      <c r="T5" s="9" t="inlineStr"/>
      <c r="U5" s="9">
        <f>HYPERLINK("#Schedule!F256", "瀬川 YU (40590)")</f>
        <v/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>
        <f>HYPERLINK("#Schedule!F379", "SAKAKIMA (50730)")</f>
        <v/>
      </c>
      <c r="AE5" s="9">
        <f>HYPERLINK("#Schedule!F379", "SAKAKIMA (50730)")</f>
        <v/>
      </c>
      <c r="AF5" s="9" t="inlineStr"/>
      <c r="AG5" s="9" t="inlineStr"/>
      <c r="AH5" s="9" t="inlineStr"/>
      <c r="AI5" s="9" t="inlineStr"/>
      <c r="AJ5" s="9" t="inlineStr"/>
    </row>
    <row r="6">
      <c r="A6" s="1" t="inlineStr">
        <is>
          <t>41665-1</t>
        </is>
      </c>
      <c r="B6" s="1" t="inlineStr">
        <is>
          <t>NAKAMURA YC</t>
        </is>
      </c>
      <c r="C6" s="1" t="inlineStr"/>
      <c r="D6" s="1" t="inlineStr">
        <is>
          <t>NTW001</t>
        </is>
      </c>
      <c r="E6" s="1" t="n"/>
      <c r="F6" s="4" t="inlineStr">
        <is>
          <t>中村 YC</t>
        </is>
      </c>
      <c r="G6" s="4" t="inlineStr">
        <is>
          <t>YC</t>
        </is>
      </c>
      <c r="H6" s="4" t="inlineStr">
        <is>
          <t>機種：</t>
        </is>
      </c>
      <c r="I6" s="4" t="inlineStr">
        <is>
          <t>787</t>
        </is>
      </c>
      <c r="J6" s="4" t="inlineStr">
        <is>
          <t>ランク：</t>
        </is>
      </c>
      <c r="K6" s="4" t="inlineStr">
        <is>
          <t>CAP</t>
        </is>
      </c>
      <c r="L6" s="4" t="inlineStr">
        <is>
          <t>期：</t>
        </is>
      </c>
      <c r="M6" s="4" t="inlineStr">
        <is>
          <t>職番：</t>
        </is>
      </c>
      <c r="N6" s="4" t="inlineStr">
        <is>
          <t>00041665</t>
        </is>
      </c>
      <c r="O6" s="4" t="inlineStr">
        <is>
          <t>所属：</t>
        </is>
      </c>
      <c r="P6" s="4" t="inlineStr">
        <is>
          <t>NTZNT</t>
        </is>
      </c>
      <c r="Q6" s="4" t="inlineStr">
        <is>
          <t>CAT資：</t>
        </is>
      </c>
      <c r="R6" s="4" t="inlineStr">
        <is>
          <t>CAT3</t>
        </is>
      </c>
      <c r="S6" s="4" t="inlineStr">
        <is>
          <t>T/O：</t>
        </is>
      </c>
      <c r="T6" s="4" t="inlineStr">
        <is>
          <t>3T250821</t>
        </is>
      </c>
      <c r="U6" s="4" t="inlineStr">
        <is>
          <t>L/D：</t>
        </is>
      </c>
      <c r="V6" s="4" t="inlineStr">
        <is>
          <t>3L250821</t>
        </is>
      </c>
      <c r="W6" s="4" t="inlineStr">
        <is>
          <t>PE：</t>
        </is>
      </c>
      <c r="X6" s="5" t="inlineStr">
        <is>
          <t>PE260512</t>
        </is>
      </c>
      <c r="Y6" s="4" t="inlineStr">
        <is>
          <t>誕生月：</t>
        </is>
      </c>
      <c r="Z6" s="4" t="inlineStr">
        <is>
          <t>10</t>
        </is>
      </c>
      <c r="AA6" s="6" t="inlineStr">
        <is>
          <t>電話：</t>
        </is>
      </c>
      <c r="AB6" s="6" t="inlineStr">
        <is>
          <t>090-8568-3558</t>
        </is>
      </c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>
        <is>
          <t>NTW001</t>
        </is>
      </c>
    </row>
    <row r="7">
      <c r="A7" s="1" t="inlineStr">
        <is>
          <t>41665-2</t>
        </is>
      </c>
      <c r="B7" s="1" t="inlineStr">
        <is>
          <t>NAKAMURA YC</t>
        </is>
      </c>
      <c r="C7" s="1" t="inlineStr"/>
      <c r="D7" s="1" t="inlineStr">
        <is>
          <t>NTW001</t>
        </is>
      </c>
      <c r="E7" s="1" t="n"/>
      <c r="F7" s="7" t="inlineStr">
        <is>
          <t>01</t>
        </is>
      </c>
      <c r="G7" s="7" t="inlineStr">
        <is>
          <t>02</t>
        </is>
      </c>
      <c r="H7" s="7" t="inlineStr">
        <is>
          <t>03</t>
        </is>
      </c>
      <c r="I7" s="7" t="inlineStr">
        <is>
          <t>04</t>
        </is>
      </c>
      <c r="J7" s="7" t="inlineStr">
        <is>
          <t>05</t>
        </is>
      </c>
      <c r="K7" s="10" t="inlineStr">
        <is>
          <t>06</t>
        </is>
      </c>
      <c r="L7" s="7" t="inlineStr">
        <is>
          <t>07</t>
        </is>
      </c>
      <c r="M7" s="7" t="inlineStr">
        <is>
          <t>08</t>
        </is>
      </c>
      <c r="N7" s="7" t="inlineStr">
        <is>
          <t>09</t>
        </is>
      </c>
      <c r="O7" s="7" t="inlineStr">
        <is>
          <t>10</t>
        </is>
      </c>
      <c r="P7" s="7" t="inlineStr">
        <is>
          <t>11</t>
        </is>
      </c>
      <c r="Q7" s="7" t="inlineStr">
        <is>
          <t>12</t>
        </is>
      </c>
      <c r="R7" s="7" t="inlineStr">
        <is>
          <t>13</t>
        </is>
      </c>
      <c r="S7" s="7" t="inlineStr">
        <is>
          <t>14</t>
        </is>
      </c>
      <c r="T7" s="7" t="inlineStr">
        <is>
          <t>15</t>
        </is>
      </c>
      <c r="U7" s="7" t="inlineStr">
        <is>
          <t>16</t>
        </is>
      </c>
      <c r="V7" s="8" t="inlineStr">
        <is>
          <t>17</t>
        </is>
      </c>
      <c r="W7" s="8" t="inlineStr">
        <is>
          <t>18</t>
        </is>
      </c>
      <c r="X7" s="7" t="inlineStr">
        <is>
          <t>19</t>
        </is>
      </c>
      <c r="Y7" s="7" t="inlineStr">
        <is>
          <t>20</t>
        </is>
      </c>
      <c r="Z7" s="7" t="inlineStr">
        <is>
          <t>21</t>
        </is>
      </c>
      <c r="AA7" s="7" t="inlineStr">
        <is>
          <t>22</t>
        </is>
      </c>
      <c r="AB7" s="7" t="inlineStr">
        <is>
          <t>23</t>
        </is>
      </c>
      <c r="AC7" s="7" t="inlineStr">
        <is>
          <t>24</t>
        </is>
      </c>
      <c r="AD7" s="7" t="inlineStr">
        <is>
          <t>25</t>
        </is>
      </c>
      <c r="AE7" s="7" t="inlineStr">
        <is>
          <t>26</t>
        </is>
      </c>
      <c r="AF7" s="7" t="inlineStr">
        <is>
          <t>27</t>
        </is>
      </c>
      <c r="AG7" s="7" t="inlineStr">
        <is>
          <t>28</t>
        </is>
      </c>
      <c r="AH7" s="7" t="inlineStr">
        <is>
          <t>29</t>
        </is>
      </c>
      <c r="AI7" s="7" t="inlineStr">
        <is>
          <t>30</t>
        </is>
      </c>
      <c r="AJ7" s="7" t="inlineStr">
        <is>
          <t>31</t>
        </is>
      </c>
    </row>
    <row r="8">
      <c r="A8" s="1" t="inlineStr">
        <is>
          <t>41665-3</t>
        </is>
      </c>
      <c r="B8" s="1" t="inlineStr">
        <is>
          <t>NAKAMURA YC</t>
        </is>
      </c>
      <c r="C8" s="1" t="inlineStr"/>
      <c r="D8" s="1" t="inlineStr">
        <is>
          <t>NTW001</t>
        </is>
      </c>
      <c r="E8" s="1" t="n"/>
      <c r="F8" s="9" t="inlineStr">
        <is>
          <t>VACN</t>
        </is>
      </c>
      <c r="G8" s="9" t="inlineStr">
        <is>
          <t>EGT
EGT TRN</t>
        </is>
      </c>
      <c r="H8" s="9" t="inlineStr">
        <is>
          <t>H</t>
        </is>
      </c>
      <c r="I8" s="9" t="inlineStr">
        <is>
          <t>H</t>
        </is>
      </c>
      <c r="J8" s="9" t="inlineStr">
        <is>
          <t>HH</t>
        </is>
      </c>
      <c r="K8" s="9" t="inlineStr">
        <is>
          <t>M22
ISR
#1
13:00-17:00</t>
        </is>
      </c>
      <c r="L8" s="9" t="inlineStr">
        <is>
          <t>NTW1</t>
        </is>
      </c>
      <c r="M8" s="9" t="inlineStr">
        <is>
          <t>MTG1</t>
        </is>
      </c>
      <c r="N8" s="9" t="inlineStr">
        <is>
          <t>NTZ1</t>
        </is>
      </c>
      <c r="O8" s="9" t="inlineStr">
        <is>
          <t>VAC</t>
        </is>
      </c>
      <c r="P8" s="9" t="inlineStr">
        <is>
          <t>H</t>
        </is>
      </c>
      <c r="Q8" s="9" t="inlineStr">
        <is>
          <t>753</t>
        </is>
      </c>
      <c r="R8" s="9" t="inlineStr">
        <is>
          <t>---</t>
        </is>
      </c>
      <c r="S8" s="9" t="inlineStr">
        <is>
          <t>754</t>
        </is>
      </c>
      <c r="T8" s="9" t="inlineStr">
        <is>
          <t>H</t>
        </is>
      </c>
      <c r="U8" s="9" t="inlineStr">
        <is>
          <t>H/PEC</t>
        </is>
      </c>
      <c r="V8" s="9" t="inlineStr">
        <is>
          <t>809
CFM ISR</t>
        </is>
      </c>
      <c r="W8" s="9" t="inlineStr">
        <is>
          <t>802
CFM ISR</t>
        </is>
      </c>
      <c r="X8" s="9" t="inlineStr">
        <is>
          <t>NTW1</t>
        </is>
      </c>
      <c r="Y8" s="9" t="inlineStr">
        <is>
          <t>MTG1</t>
        </is>
      </c>
      <c r="Z8" s="9" t="inlineStr">
        <is>
          <t>MTG1</t>
        </is>
      </c>
      <c r="AA8" s="9" t="inlineStr">
        <is>
          <t>H</t>
        </is>
      </c>
      <c r="AB8" s="9" t="inlineStr">
        <is>
          <t>H</t>
        </is>
      </c>
      <c r="AC8" s="9" t="inlineStr">
        <is>
          <t>PH3
ISR
#2
17:00-21:00</t>
        </is>
      </c>
      <c r="AD8" s="9" t="inlineStr">
        <is>
          <t>HH</t>
        </is>
      </c>
      <c r="AE8" s="9" t="inlineStr">
        <is>
          <t>R_</t>
        </is>
      </c>
      <c r="AF8" s="9" t="inlineStr">
        <is>
          <t>R</t>
        </is>
      </c>
      <c r="AG8" s="9" t="inlineStr">
        <is>
          <t>H</t>
        </is>
      </c>
      <c r="AH8" s="9" t="inlineStr">
        <is>
          <t>GMT1</t>
        </is>
      </c>
      <c r="AI8" s="9" t="inlineStr">
        <is>
          <t>NTW1</t>
        </is>
      </c>
      <c r="AJ8" s="9" t="inlineStr">
        <is>
          <t>R</t>
        </is>
      </c>
    </row>
    <row r="9">
      <c r="A9" s="1" t="inlineStr">
        <is>
          <t>41665-4</t>
        </is>
      </c>
      <c r="B9" s="1" t="inlineStr">
        <is>
          <t>NAKAMURA YC</t>
        </is>
      </c>
      <c r="C9" s="1" t="inlineStr"/>
      <c r="D9" s="1" t="inlineStr">
        <is>
          <t>NTW001</t>
        </is>
      </c>
      <c r="E9" s="1" t="n"/>
      <c r="F9" s="9" t="inlineStr"/>
      <c r="G9" s="9" t="inlineStr"/>
      <c r="H9" s="9" t="inlineStr"/>
      <c r="I9" s="9" t="inlineStr"/>
      <c r="J9" s="9" t="inlineStr"/>
      <c r="K9" s="11">
        <f>HYPERLINK("#Schedule!F37", "T細川 SH (37746)")</f>
        <v/>
      </c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</row>
    <row r="10">
      <c r="A10" s="1" t="inlineStr">
        <is>
          <t>45028-1</t>
        </is>
      </c>
      <c r="B10" s="1" t="inlineStr">
        <is>
          <t>SASAKI MA</t>
        </is>
      </c>
      <c r="C10" s="1" t="inlineStr"/>
      <c r="D10" s="1" t="inlineStr">
        <is>
          <t>NTW001</t>
        </is>
      </c>
      <c r="E10" s="1" t="n"/>
      <c r="F10" s="4" t="inlineStr">
        <is>
          <t>佐々木MA</t>
        </is>
      </c>
      <c r="G10" s="4" t="inlineStr">
        <is>
          <t>MA</t>
        </is>
      </c>
      <c r="H10" s="4" t="inlineStr">
        <is>
          <t>機種：</t>
        </is>
      </c>
      <c r="I10" s="4" t="inlineStr">
        <is>
          <t>787</t>
        </is>
      </c>
      <c r="J10" s="4" t="inlineStr">
        <is>
          <t>ランク：</t>
        </is>
      </c>
      <c r="K10" s="4" t="inlineStr">
        <is>
          <t>CAP</t>
        </is>
      </c>
      <c r="L10" s="4" t="inlineStr">
        <is>
          <t>期：</t>
        </is>
      </c>
      <c r="M10" s="4" t="inlineStr">
        <is>
          <t>職番：</t>
        </is>
      </c>
      <c r="N10" s="4" t="inlineStr">
        <is>
          <t>00045028</t>
        </is>
      </c>
      <c r="O10" s="4" t="inlineStr">
        <is>
          <t>所属：</t>
        </is>
      </c>
      <c r="P10" s="4" t="inlineStr">
        <is>
          <t>NTZNT</t>
        </is>
      </c>
      <c r="Q10" s="4" t="inlineStr">
        <is>
          <t>CAT資：</t>
        </is>
      </c>
      <c r="R10" s="4" t="inlineStr">
        <is>
          <t>CAT3</t>
        </is>
      </c>
      <c r="S10" s="4" t="inlineStr">
        <is>
          <t>T/O：</t>
        </is>
      </c>
      <c r="T10" s="4" t="inlineStr">
        <is>
          <t>3T250921</t>
        </is>
      </c>
      <c r="U10" s="4" t="inlineStr">
        <is>
          <t>L/D：</t>
        </is>
      </c>
      <c r="V10" s="4" t="inlineStr">
        <is>
          <t>3L250921</t>
        </is>
      </c>
      <c r="W10" s="4" t="inlineStr">
        <is>
          <t>PE：</t>
        </is>
      </c>
      <c r="X10" s="5" t="inlineStr">
        <is>
          <t>PE260203</t>
        </is>
      </c>
      <c r="Y10" s="4" t="inlineStr">
        <is>
          <t>誕生月：</t>
        </is>
      </c>
      <c r="Z10" s="4" t="inlineStr">
        <is>
          <t>05</t>
        </is>
      </c>
      <c r="AA10" s="6" t="inlineStr">
        <is>
          <t>電話：</t>
        </is>
      </c>
      <c r="AB10" s="6" t="inlineStr">
        <is>
          <t>090-1467-4023</t>
        </is>
      </c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>
        <is>
          <t>NTW001</t>
        </is>
      </c>
    </row>
    <row r="11">
      <c r="A11" s="1" t="inlineStr">
        <is>
          <t>45028-2</t>
        </is>
      </c>
      <c r="B11" s="1" t="inlineStr">
        <is>
          <t>SASAKI MA</t>
        </is>
      </c>
      <c r="C11" s="1" t="inlineStr"/>
      <c r="D11" s="1" t="inlineStr">
        <is>
          <t>NTW001</t>
        </is>
      </c>
      <c r="E11" s="1" t="n"/>
      <c r="F11" s="7" t="inlineStr">
        <is>
          <t>01</t>
        </is>
      </c>
      <c r="G11" s="7" t="inlineStr">
        <is>
          <t>02</t>
        </is>
      </c>
      <c r="H11" s="7" t="inlineStr">
        <is>
          <t>03</t>
        </is>
      </c>
      <c r="I11" s="7" t="inlineStr">
        <is>
          <t>04</t>
        </is>
      </c>
      <c r="J11" s="7" t="inlineStr">
        <is>
          <t>05</t>
        </is>
      </c>
      <c r="K11" s="7" t="inlineStr">
        <is>
          <t>06</t>
        </is>
      </c>
      <c r="L11" s="7" t="inlineStr">
        <is>
          <t>07</t>
        </is>
      </c>
      <c r="M11" s="7" t="inlineStr">
        <is>
          <t>08</t>
        </is>
      </c>
      <c r="N11" s="7" t="inlineStr">
        <is>
          <t>09</t>
        </is>
      </c>
      <c r="O11" s="7" t="inlineStr">
        <is>
          <t>10</t>
        </is>
      </c>
      <c r="P11" s="10" t="inlineStr">
        <is>
          <t>11</t>
        </is>
      </c>
      <c r="Q11" s="7" t="inlineStr">
        <is>
          <t>12</t>
        </is>
      </c>
      <c r="R11" s="7" t="inlineStr">
        <is>
          <t>13</t>
        </is>
      </c>
      <c r="S11" s="7" t="inlineStr">
        <is>
          <t>14</t>
        </is>
      </c>
      <c r="T11" s="8" t="inlineStr">
        <is>
          <t>15</t>
        </is>
      </c>
      <c r="U11" s="8" t="inlineStr">
        <is>
          <t>16</t>
        </is>
      </c>
      <c r="V11" s="7" t="inlineStr">
        <is>
          <t>17</t>
        </is>
      </c>
      <c r="W11" s="10" t="inlineStr">
        <is>
          <t>18</t>
        </is>
      </c>
      <c r="X11" s="7" t="inlineStr">
        <is>
          <t>19</t>
        </is>
      </c>
      <c r="Y11" s="7" t="inlineStr">
        <is>
          <t>20</t>
        </is>
      </c>
      <c r="Z11" s="12" t="inlineStr">
        <is>
          <t>21</t>
        </is>
      </c>
      <c r="AA11" s="12" t="inlineStr">
        <is>
          <t>22</t>
        </is>
      </c>
      <c r="AB11" s="7" t="inlineStr">
        <is>
          <t>23</t>
        </is>
      </c>
      <c r="AC11" s="7" t="inlineStr">
        <is>
          <t>24</t>
        </is>
      </c>
      <c r="AD11" s="13" t="inlineStr">
        <is>
          <t>25</t>
        </is>
      </c>
      <c r="AE11" s="7" t="inlineStr">
        <is>
          <t>26</t>
        </is>
      </c>
      <c r="AF11" s="7" t="inlineStr">
        <is>
          <t>27</t>
        </is>
      </c>
      <c r="AG11" s="7" t="inlineStr">
        <is>
          <t>28</t>
        </is>
      </c>
      <c r="AH11" s="7" t="inlineStr">
        <is>
          <t>29</t>
        </is>
      </c>
      <c r="AI11" s="7" t="inlineStr">
        <is>
          <t>30</t>
        </is>
      </c>
      <c r="AJ11" s="7" t="inlineStr">
        <is>
          <t>31</t>
        </is>
      </c>
    </row>
    <row r="12">
      <c r="A12" s="1" t="inlineStr">
        <is>
          <t>45028-3</t>
        </is>
      </c>
      <c r="B12" s="1" t="inlineStr">
        <is>
          <t>SASAKI MA</t>
        </is>
      </c>
      <c r="C12" s="1" t="inlineStr"/>
      <c r="D12" s="1" t="inlineStr">
        <is>
          <t>NTW001</t>
        </is>
      </c>
      <c r="E12" s="1" t="n"/>
      <c r="F12" s="9" t="inlineStr">
        <is>
          <t>*H</t>
        </is>
      </c>
      <c r="G12" s="9" t="inlineStr">
        <is>
          <t>*H</t>
        </is>
      </c>
      <c r="H12" s="9" t="inlineStr">
        <is>
          <t>*H</t>
        </is>
      </c>
      <c r="I12" s="9" t="inlineStr">
        <is>
          <t>ISR
ISR
#2
11:00-15:00</t>
        </is>
      </c>
      <c r="J12" s="9" t="inlineStr">
        <is>
          <t>RF</t>
        </is>
      </c>
      <c r="K12" s="9" t="inlineStr">
        <is>
          <t>H</t>
        </is>
      </c>
      <c r="L12" s="9" t="inlineStr">
        <is>
          <t>BFG</t>
        </is>
      </c>
      <c r="M12" s="9" t="inlineStr">
        <is>
          <t>MTG1</t>
        </is>
      </c>
      <c r="N12" s="9" t="inlineStr">
        <is>
          <t>NTW1</t>
        </is>
      </c>
      <c r="O12" s="9" t="inlineStr">
        <is>
          <t>CMD
ISR
#1
19:00-21:00</t>
        </is>
      </c>
      <c r="P12" s="9" t="inlineStr">
        <is>
          <t>M12
ISR
#1
19:00-23:00</t>
        </is>
      </c>
      <c r="Q12" s="9" t="inlineStr">
        <is>
          <t>H</t>
        </is>
      </c>
      <c r="R12" s="9" t="inlineStr">
        <is>
          <t>H</t>
        </is>
      </c>
      <c r="S12" s="9" t="inlineStr">
        <is>
          <t>221DH</t>
        </is>
      </c>
      <c r="T12" s="9" t="inlineStr">
        <is>
          <t>727
CFM ISR</t>
        </is>
      </c>
      <c r="U12" s="9" t="inlineStr">
        <is>
          <t>708
CFM ISR</t>
        </is>
      </c>
      <c r="V12" s="9" t="inlineStr">
        <is>
          <t>*H</t>
        </is>
      </c>
      <c r="W12" s="9" t="inlineStr">
        <is>
          <t>M21
ISR
#2
11:00-15:00</t>
        </is>
      </c>
      <c r="X12" s="9" t="inlineStr">
        <is>
          <t>NTW1</t>
        </is>
      </c>
      <c r="Y12" s="9" t="inlineStr">
        <is>
          <t>H</t>
        </is>
      </c>
      <c r="Z12" s="9" t="inlineStr">
        <is>
          <t>M11
TRN
#1
09:00-11:00</t>
        </is>
      </c>
      <c r="AA12" s="9" t="inlineStr">
        <is>
          <t>M12
TRN
#1
11:00-15:00</t>
        </is>
      </c>
      <c r="AB12" s="9" t="inlineStr">
        <is>
          <t>R</t>
        </is>
      </c>
      <c r="AC12" s="9" t="inlineStr">
        <is>
          <t>CAUG
ISR</t>
        </is>
      </c>
      <c r="AD12" s="9" t="inlineStr">
        <is>
          <t>CAUG
ISR
#2
13:00-17:00
OPGS2</t>
        </is>
      </c>
      <c r="AE12" s="9" t="inlineStr">
        <is>
          <t>HH</t>
        </is>
      </c>
      <c r="AF12" s="9" t="inlineStr">
        <is>
          <t>HH</t>
        </is>
      </c>
      <c r="AG12" s="9" t="inlineStr">
        <is>
          <t>OTHR
ISR
#1
21:00-23:00</t>
        </is>
      </c>
      <c r="AH12" s="9" t="inlineStr">
        <is>
          <t>CATR
ISR
#1
17:00-21:00
CATR/XWDT</t>
        </is>
      </c>
      <c r="AI12" s="9" t="inlineStr">
        <is>
          <t>R_</t>
        </is>
      </c>
      <c r="AJ12" s="9" t="inlineStr">
        <is>
          <t>R_</t>
        </is>
      </c>
    </row>
    <row r="13">
      <c r="A13" s="1" t="inlineStr">
        <is>
          <t>45028-4</t>
        </is>
      </c>
      <c r="B13" s="1" t="inlineStr">
        <is>
          <t>SASAKI MA</t>
        </is>
      </c>
      <c r="C13" s="1" t="inlineStr"/>
      <c r="D13" s="1" t="inlineStr">
        <is>
          <t>NTW001</t>
        </is>
      </c>
      <c r="E13" s="1" t="n"/>
      <c r="F13" s="9" t="inlineStr"/>
      <c r="G13" s="9" t="inlineStr"/>
      <c r="H13" s="9" t="inlineStr"/>
      <c r="I13" s="9">
        <f>HYPERLINK("#Schedule!F160", "I岡本 KA (41662)")</f>
        <v/>
      </c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>
        <is>
          <t>I内田 KE</t>
        </is>
      </c>
      <c r="X13" s="9" t="inlineStr"/>
      <c r="Y13" s="9" t="inlineStr"/>
      <c r="Z13" s="9" t="inlineStr"/>
      <c r="AA13" s="9" t="inlineStr">
        <is>
          <t>I福島 JU</t>
        </is>
      </c>
      <c r="AB13" s="9" t="inlineStr"/>
      <c r="AC13" s="9" t="inlineStr"/>
      <c r="AD13" s="9" t="inlineStr">
        <is>
          <t>I宇治 TO</t>
        </is>
      </c>
      <c r="AE13" s="9" t="inlineStr"/>
      <c r="AF13" s="9" t="inlineStr"/>
      <c r="AG13" s="9" t="inlineStr">
        <is>
          <t>T木内KA</t>
        </is>
      </c>
      <c r="AH13" s="9" t="inlineStr"/>
      <c r="AI13" s="9" t="inlineStr"/>
      <c r="AJ13" s="9" t="inlineStr"/>
    </row>
    <row r="14">
      <c r="A14" s="1" t="inlineStr">
        <is>
          <t>45028-5</t>
        </is>
      </c>
      <c r="B14" s="1" t="inlineStr">
        <is>
          <t>SASAKI MA</t>
        </is>
      </c>
      <c r="C14" s="1" t="inlineStr"/>
      <c r="D14" s="1" t="inlineStr">
        <is>
          <t>NTW001</t>
        </is>
      </c>
      <c r="E14" s="1" t="n"/>
      <c r="F14" s="9" t="inlineStr"/>
      <c r="G14" s="9" t="inlineStr"/>
      <c r="H14" s="9" t="inlineStr"/>
      <c r="I14" s="9">
        <f>HYPERLINK("#Schedule!F106", "I森 SH (48994)")</f>
        <v/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</row>
    <row r="15">
      <c r="A15" s="1" t="inlineStr">
        <is>
          <t>41168-1</t>
        </is>
      </c>
      <c r="B15" s="1" t="inlineStr">
        <is>
          <t>NUMATA KE</t>
        </is>
      </c>
      <c r="C15" s="1" t="inlineStr"/>
      <c r="D15" s="1" t="inlineStr">
        <is>
          <t>NTW001</t>
        </is>
      </c>
      <c r="E15" s="1" t="n"/>
      <c r="F15" s="4" t="inlineStr">
        <is>
          <t>沼田KE</t>
        </is>
      </c>
      <c r="G15" s="4" t="inlineStr">
        <is>
          <t>KE</t>
        </is>
      </c>
      <c r="H15" s="4" t="inlineStr">
        <is>
          <t>機種：</t>
        </is>
      </c>
      <c r="I15" s="4" t="inlineStr">
        <is>
          <t>787</t>
        </is>
      </c>
      <c r="J15" s="4" t="inlineStr">
        <is>
          <t>ランク：</t>
        </is>
      </c>
      <c r="K15" s="4" t="inlineStr">
        <is>
          <t>CAP</t>
        </is>
      </c>
      <c r="L15" s="4" t="inlineStr">
        <is>
          <t>期：</t>
        </is>
      </c>
      <c r="M15" s="4" t="inlineStr">
        <is>
          <t>職番：</t>
        </is>
      </c>
      <c r="N15" s="4" t="inlineStr">
        <is>
          <t>00041168</t>
        </is>
      </c>
      <c r="O15" s="4" t="inlineStr">
        <is>
          <t>所属：</t>
        </is>
      </c>
      <c r="P15" s="4" t="inlineStr">
        <is>
          <t>NTZNT</t>
        </is>
      </c>
      <c r="Q15" s="4" t="inlineStr">
        <is>
          <t>CAT資：</t>
        </is>
      </c>
      <c r="R15" s="4" t="inlineStr">
        <is>
          <t>CAT3</t>
        </is>
      </c>
      <c r="S15" s="4" t="inlineStr">
        <is>
          <t>T/O：</t>
        </is>
      </c>
      <c r="T15" s="4" t="inlineStr">
        <is>
          <t>3T250828</t>
        </is>
      </c>
      <c r="U15" s="4" t="inlineStr">
        <is>
          <t>L/D：</t>
        </is>
      </c>
      <c r="V15" s="4" t="inlineStr">
        <is>
          <t>3L250830</t>
        </is>
      </c>
      <c r="W15" s="4" t="inlineStr">
        <is>
          <t>PE：</t>
        </is>
      </c>
      <c r="X15" s="5" t="inlineStr">
        <is>
          <t>PE260715</t>
        </is>
      </c>
      <c r="Y15" s="4" t="inlineStr">
        <is>
          <t>誕生月：</t>
        </is>
      </c>
      <c r="Z15" s="4" t="inlineStr">
        <is>
          <t>10</t>
        </is>
      </c>
      <c r="AA15" s="6" t="inlineStr">
        <is>
          <t>電話：</t>
        </is>
      </c>
      <c r="AB15" s="6" t="inlineStr">
        <is>
          <t>0476-26-3036</t>
        </is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>
        <is>
          <t>NTW001</t>
        </is>
      </c>
    </row>
    <row r="16">
      <c r="A16" s="1" t="inlineStr">
        <is>
          <t>41168-2</t>
        </is>
      </c>
      <c r="B16" s="1" t="inlineStr">
        <is>
          <t>NUMATA KE</t>
        </is>
      </c>
      <c r="C16" s="1" t="inlineStr"/>
      <c r="D16" s="1" t="inlineStr">
        <is>
          <t>NTW001</t>
        </is>
      </c>
      <c r="E16" s="1" t="n"/>
      <c r="F16" s="7" t="inlineStr">
        <is>
          <t>01</t>
        </is>
      </c>
      <c r="G16" s="7" t="inlineStr">
        <is>
          <t>02</t>
        </is>
      </c>
      <c r="H16" s="7" t="inlineStr">
        <is>
          <t>03</t>
        </is>
      </c>
      <c r="I16" s="7" t="inlineStr">
        <is>
          <t>04</t>
        </is>
      </c>
      <c r="J16" s="7" t="inlineStr">
        <is>
          <t>05</t>
        </is>
      </c>
      <c r="K16" s="7" t="inlineStr">
        <is>
          <t>06</t>
        </is>
      </c>
      <c r="L16" s="7" t="inlineStr">
        <is>
          <t>07</t>
        </is>
      </c>
      <c r="M16" s="7" t="inlineStr">
        <is>
          <t>08</t>
        </is>
      </c>
      <c r="N16" s="7" t="inlineStr">
        <is>
          <t>09</t>
        </is>
      </c>
      <c r="O16" s="7" t="inlineStr">
        <is>
          <t>10</t>
        </is>
      </c>
      <c r="P16" s="7" t="inlineStr">
        <is>
          <t>11</t>
        </is>
      </c>
      <c r="Q16" s="7" t="inlineStr">
        <is>
          <t>12</t>
        </is>
      </c>
      <c r="R16" s="7" t="inlineStr">
        <is>
          <t>13</t>
        </is>
      </c>
      <c r="S16" s="7" t="inlineStr">
        <is>
          <t>14</t>
        </is>
      </c>
      <c r="T16" s="7" t="inlineStr">
        <is>
          <t>15</t>
        </is>
      </c>
      <c r="U16" s="7" t="inlineStr">
        <is>
          <t>16</t>
        </is>
      </c>
      <c r="V16" s="13" t="inlineStr">
        <is>
          <t>17</t>
        </is>
      </c>
      <c r="W16" s="13" t="inlineStr">
        <is>
          <t>18</t>
        </is>
      </c>
      <c r="X16" s="13" t="inlineStr">
        <is>
          <t>19</t>
        </is>
      </c>
      <c r="Y16" s="7" t="inlineStr">
        <is>
          <t>20</t>
        </is>
      </c>
      <c r="Z16" s="7" t="inlineStr">
        <is>
          <t>21</t>
        </is>
      </c>
      <c r="AA16" s="13" t="inlineStr">
        <is>
          <t>22</t>
        </is>
      </c>
      <c r="AB16" s="7" t="inlineStr">
        <is>
          <t>23</t>
        </is>
      </c>
      <c r="AC16" s="13" t="inlineStr">
        <is>
          <t>24</t>
        </is>
      </c>
      <c r="AD16" s="13" t="inlineStr">
        <is>
          <t>25</t>
        </is>
      </c>
      <c r="AE16" s="13" t="inlineStr">
        <is>
          <t>26</t>
        </is>
      </c>
      <c r="AF16" s="7" t="inlineStr">
        <is>
          <t>27</t>
        </is>
      </c>
      <c r="AG16" s="13" t="inlineStr">
        <is>
          <t>28</t>
        </is>
      </c>
      <c r="AH16" s="13" t="inlineStr">
        <is>
          <t>29</t>
        </is>
      </c>
      <c r="AI16" s="13" t="inlineStr">
        <is>
          <t>30</t>
        </is>
      </c>
      <c r="AJ16" s="7" t="inlineStr">
        <is>
          <t>31</t>
        </is>
      </c>
    </row>
    <row r="17">
      <c r="A17" s="1" t="inlineStr">
        <is>
          <t>41168-3</t>
        </is>
      </c>
      <c r="B17" s="1" t="inlineStr">
        <is>
          <t>NUMATA KE</t>
        </is>
      </c>
      <c r="C17" s="1" t="inlineStr"/>
      <c r="D17" s="1" t="inlineStr">
        <is>
          <t>NTW001</t>
        </is>
      </c>
      <c r="E17" s="1" t="n"/>
      <c r="F17" s="9" t="inlineStr">
        <is>
          <t>NTW1</t>
        </is>
      </c>
      <c r="G17" s="9" t="inlineStr">
        <is>
          <t>H</t>
        </is>
      </c>
      <c r="H17" s="9" t="inlineStr">
        <is>
          <t>H</t>
        </is>
      </c>
      <c r="I17" s="9" t="inlineStr">
        <is>
          <t>8786</t>
        </is>
      </c>
      <c r="J17" s="9" t="inlineStr">
        <is>
          <t>---</t>
        </is>
      </c>
      <c r="K17" s="9" t="inlineStr">
        <is>
          <t>791
130DH</t>
        </is>
      </c>
      <c r="L17" s="9" t="inlineStr">
        <is>
          <t>*H</t>
        </is>
      </c>
      <c r="M17" s="9" t="inlineStr">
        <is>
          <t>*H</t>
        </is>
      </c>
      <c r="N17" s="9" t="inlineStr">
        <is>
          <t>CATR
ISR
#1
11:00-15:00
CATR/CHK</t>
        </is>
      </c>
      <c r="O17" s="9" t="inlineStr">
        <is>
          <t>NTW1</t>
        </is>
      </c>
      <c r="P17" s="9" t="inlineStr">
        <is>
          <t>37</t>
        </is>
      </c>
      <c r="Q17" s="9" t="inlineStr">
        <is>
          <t>---</t>
        </is>
      </c>
      <c r="R17" s="9" t="inlineStr">
        <is>
          <t>36</t>
        </is>
      </c>
      <c r="S17" s="9" t="inlineStr">
        <is>
          <t>H</t>
        </is>
      </c>
      <c r="T17" s="9" t="inlineStr">
        <is>
          <t>MTG1</t>
        </is>
      </c>
      <c r="U17" s="9" t="inlineStr">
        <is>
          <t>NTW1</t>
        </is>
      </c>
      <c r="V17" s="9" t="inlineStr">
        <is>
          <t>SS</t>
        </is>
      </c>
      <c r="W17" s="9" t="inlineStr">
        <is>
          <t>SS</t>
        </is>
      </c>
      <c r="X17" s="9" t="inlineStr">
        <is>
          <t>SS</t>
        </is>
      </c>
      <c r="Y17" s="9" t="inlineStr">
        <is>
          <t>H</t>
        </is>
      </c>
      <c r="Z17" s="9" t="inlineStr">
        <is>
          <t>H</t>
        </is>
      </c>
      <c r="AA17" s="9" t="inlineStr">
        <is>
          <t>SS</t>
        </is>
      </c>
      <c r="AB17" s="9" t="inlineStr">
        <is>
          <t>HH</t>
        </is>
      </c>
      <c r="AC17" s="9" t="inlineStr">
        <is>
          <t>SS</t>
        </is>
      </c>
      <c r="AD17" s="9" t="inlineStr">
        <is>
          <t>SS</t>
        </is>
      </c>
      <c r="AE17" s="9" t="inlineStr">
        <is>
          <t>SS</t>
        </is>
      </c>
      <c r="AF17" s="9" t="inlineStr">
        <is>
          <t>H</t>
        </is>
      </c>
      <c r="AG17" s="9" t="inlineStr">
        <is>
          <t>SS</t>
        </is>
      </c>
      <c r="AH17" s="9" t="inlineStr">
        <is>
          <t>SS</t>
        </is>
      </c>
      <c r="AI17" s="9" t="inlineStr">
        <is>
          <t>SS</t>
        </is>
      </c>
      <c r="AJ17" s="9" t="inlineStr">
        <is>
          <t>NTW1</t>
        </is>
      </c>
    </row>
    <row r="18">
      <c r="A18" s="1" t="inlineStr">
        <is>
          <t>41168-4</t>
        </is>
      </c>
      <c r="B18" s="1" t="inlineStr">
        <is>
          <t>NUMATA KE</t>
        </is>
      </c>
      <c r="C18" s="1" t="inlineStr"/>
      <c r="D18" s="1" t="inlineStr">
        <is>
          <t>NTW001</t>
        </is>
      </c>
      <c r="E18" s="1" t="n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>
        <f>HYPERLINK("#Schedule!F69", "I古川 DA (41218)")</f>
        <v/>
      </c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</row>
    <row r="19">
      <c r="A19" s="1" t="inlineStr">
        <is>
          <t>36186-1</t>
        </is>
      </c>
      <c r="B19" s="1" t="inlineStr">
        <is>
          <t>SAKIHAMA SH</t>
        </is>
      </c>
      <c r="C19" s="1" t="inlineStr"/>
      <c r="D19" s="1" t="inlineStr">
        <is>
          <t>NTW001</t>
        </is>
      </c>
      <c r="E19" s="1" t="n"/>
      <c r="F19" s="4" t="inlineStr">
        <is>
          <t>崎濱SH</t>
        </is>
      </c>
      <c r="G19" s="4" t="inlineStr">
        <is>
          <t>SH</t>
        </is>
      </c>
      <c r="H19" s="4" t="inlineStr">
        <is>
          <t>機種：</t>
        </is>
      </c>
      <c r="I19" s="4" t="inlineStr">
        <is>
          <t>787</t>
        </is>
      </c>
      <c r="J19" s="4" t="inlineStr">
        <is>
          <t>ランク：</t>
        </is>
      </c>
      <c r="K19" s="4" t="inlineStr">
        <is>
          <t>CAP</t>
        </is>
      </c>
      <c r="L19" s="4" t="inlineStr">
        <is>
          <t>期：</t>
        </is>
      </c>
      <c r="M19" s="4" t="inlineStr">
        <is>
          <t>職番：</t>
        </is>
      </c>
      <c r="N19" s="4" t="inlineStr">
        <is>
          <t>00036186</t>
        </is>
      </c>
      <c r="O19" s="4" t="inlineStr">
        <is>
          <t>所属：</t>
        </is>
      </c>
      <c r="P19" s="4" t="inlineStr">
        <is>
          <t>NTZNT</t>
        </is>
      </c>
      <c r="Q19" s="4" t="inlineStr">
        <is>
          <t>CAT資：</t>
        </is>
      </c>
      <c r="R19" s="4" t="inlineStr">
        <is>
          <t>T/O：</t>
        </is>
      </c>
      <c r="S19" s="4" t="inlineStr">
        <is>
          <t>L/D：</t>
        </is>
      </c>
      <c r="T19" s="4" t="inlineStr">
        <is>
          <t>PE：</t>
        </is>
      </c>
      <c r="U19" s="4" t="inlineStr">
        <is>
          <t>誕生月：</t>
        </is>
      </c>
      <c r="V19" s="4" t="inlineStr">
        <is>
          <t>11</t>
        </is>
      </c>
      <c r="W19" s="6" t="inlineStr">
        <is>
          <t>電話：</t>
        </is>
      </c>
      <c r="X19" s="6" t="inlineStr">
        <is>
          <t>090-7701-1371</t>
        </is>
      </c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>
        <is>
          <t>NTW001</t>
        </is>
      </c>
    </row>
    <row r="20">
      <c r="A20" s="1" t="inlineStr">
        <is>
          <t>36186-2</t>
        </is>
      </c>
      <c r="B20" s="1" t="inlineStr">
        <is>
          <t>SAKIHAMA SH</t>
        </is>
      </c>
      <c r="C20" s="1" t="inlineStr"/>
      <c r="D20" s="1" t="inlineStr">
        <is>
          <t>NTW001</t>
        </is>
      </c>
      <c r="E20" s="1" t="n"/>
      <c r="F20" s="10" t="inlineStr">
        <is>
          <t>01</t>
        </is>
      </c>
      <c r="G20" s="7" t="inlineStr">
        <is>
          <t>02</t>
        </is>
      </c>
      <c r="H20" s="7" t="inlineStr">
        <is>
          <t>03</t>
        </is>
      </c>
      <c r="I20" s="10" t="inlineStr">
        <is>
          <t>04</t>
        </is>
      </c>
      <c r="J20" s="10" t="inlineStr">
        <is>
          <t>05</t>
        </is>
      </c>
      <c r="K20" s="7" t="inlineStr">
        <is>
          <t>06</t>
        </is>
      </c>
      <c r="L20" s="10" t="inlineStr">
        <is>
          <t>07</t>
        </is>
      </c>
      <c r="M20" s="7" t="inlineStr">
        <is>
          <t>08</t>
        </is>
      </c>
      <c r="N20" s="7" t="inlineStr">
        <is>
          <t>09</t>
        </is>
      </c>
      <c r="O20" s="7" t="inlineStr">
        <is>
          <t>10</t>
        </is>
      </c>
      <c r="P20" s="10" t="inlineStr">
        <is>
          <t>11</t>
        </is>
      </c>
      <c r="Q20" s="7" t="inlineStr">
        <is>
          <t>12</t>
        </is>
      </c>
      <c r="R20" s="10" t="inlineStr">
        <is>
          <t>13</t>
        </is>
      </c>
      <c r="S20" s="7" t="inlineStr">
        <is>
          <t>14</t>
        </is>
      </c>
      <c r="T20" s="7" t="inlineStr">
        <is>
          <t>15</t>
        </is>
      </c>
      <c r="U20" s="10" t="inlineStr">
        <is>
          <t>16</t>
        </is>
      </c>
      <c r="V20" s="7" t="inlineStr">
        <is>
          <t>17</t>
        </is>
      </c>
      <c r="W20" s="7" t="inlineStr">
        <is>
          <t>18</t>
        </is>
      </c>
      <c r="X20" s="7" t="inlineStr">
        <is>
          <t>19</t>
        </is>
      </c>
      <c r="Y20" s="10" t="inlineStr">
        <is>
          <t>20</t>
        </is>
      </c>
      <c r="Z20" s="7" t="inlineStr">
        <is>
          <t>21</t>
        </is>
      </c>
      <c r="AA20" s="7" t="inlineStr">
        <is>
          <t>22</t>
        </is>
      </c>
      <c r="AB20" s="7" t="inlineStr">
        <is>
          <t>23</t>
        </is>
      </c>
      <c r="AC20" s="7" t="inlineStr">
        <is>
          <t>24</t>
        </is>
      </c>
      <c r="AD20" s="10" t="inlineStr">
        <is>
          <t>25</t>
        </is>
      </c>
      <c r="AE20" s="10" t="inlineStr">
        <is>
          <t>26</t>
        </is>
      </c>
      <c r="AF20" s="7" t="inlineStr">
        <is>
          <t>27</t>
        </is>
      </c>
      <c r="AG20" s="10" t="inlineStr">
        <is>
          <t>28</t>
        </is>
      </c>
      <c r="AH20" s="7" t="inlineStr">
        <is>
          <t>29</t>
        </is>
      </c>
      <c r="AI20" s="7" t="inlineStr">
        <is>
          <t>30</t>
        </is>
      </c>
      <c r="AJ20" s="10" t="inlineStr">
        <is>
          <t>31</t>
        </is>
      </c>
    </row>
    <row r="21">
      <c r="A21" s="1" t="inlineStr">
        <is>
          <t>36186-3</t>
        </is>
      </c>
      <c r="B21" s="1" t="inlineStr">
        <is>
          <t>SAKIHAMA SH</t>
        </is>
      </c>
      <c r="C21" s="1" t="inlineStr"/>
      <c r="D21" s="1" t="inlineStr">
        <is>
          <t>NTW001</t>
        </is>
      </c>
      <c r="E21" s="1" t="n"/>
      <c r="F21" s="9" t="inlineStr">
        <is>
          <t>M12
ISR
#1
15:00-19:00</t>
        </is>
      </c>
      <c r="G21" s="9" t="inlineStr">
        <is>
          <t>H</t>
        </is>
      </c>
      <c r="H21" s="9" t="inlineStr">
        <is>
          <t>H</t>
        </is>
      </c>
      <c r="I21" s="9" t="inlineStr">
        <is>
          <t>M22
ISR
#2
15:00-19:00</t>
        </is>
      </c>
      <c r="J21" s="9" t="inlineStr">
        <is>
          <t>M22
ISR
#1
15:00-19:00</t>
        </is>
      </c>
      <c r="K21" s="9" t="inlineStr">
        <is>
          <t>GJ1</t>
        </is>
      </c>
      <c r="L21" s="9" t="inlineStr">
        <is>
          <t>M22
ISR
#1
19:00-23:00</t>
        </is>
      </c>
      <c r="M21" s="9" t="inlineStr">
        <is>
          <t>H</t>
        </is>
      </c>
      <c r="N21" s="9" t="inlineStr">
        <is>
          <t>H</t>
        </is>
      </c>
      <c r="O21" s="9" t="inlineStr">
        <is>
          <t>GJ1</t>
        </is>
      </c>
      <c r="P21" s="9" t="inlineStr">
        <is>
          <t>M21
ISR
#1
07:00-11:00</t>
        </is>
      </c>
      <c r="Q21" s="9" t="inlineStr">
        <is>
          <t>GJ1</t>
        </is>
      </c>
      <c r="R21" s="9" t="inlineStr">
        <is>
          <t>M21
ISR
#2
09:00-13:00</t>
        </is>
      </c>
      <c r="S21" s="9" t="inlineStr">
        <is>
          <t>OTHR
ISR
#2
09:00-13:00</t>
        </is>
      </c>
      <c r="T21" s="9" t="inlineStr">
        <is>
          <t>H</t>
        </is>
      </c>
      <c r="U21" s="9" t="inlineStr">
        <is>
          <t>M21
ISR
#2
11:00-15:00</t>
        </is>
      </c>
      <c r="V21" s="9" t="inlineStr">
        <is>
          <t>GJ0</t>
        </is>
      </c>
      <c r="W21" s="9" t="inlineStr">
        <is>
          <t>HH</t>
        </is>
      </c>
      <c r="X21" s="9" t="inlineStr">
        <is>
          <t>HH</t>
        </is>
      </c>
      <c r="Y21" s="9" t="inlineStr">
        <is>
          <t>M22
ISR
#2
15:00-19:00</t>
        </is>
      </c>
      <c r="Z21" s="9" t="inlineStr">
        <is>
          <t>GJ1</t>
        </is>
      </c>
      <c r="AA21" s="9" t="inlineStr">
        <is>
          <t>NTZF1</t>
        </is>
      </c>
      <c r="AB21" s="9" t="inlineStr">
        <is>
          <t>NTZF1</t>
        </is>
      </c>
      <c r="AC21" s="9" t="inlineStr">
        <is>
          <t>H</t>
        </is>
      </c>
      <c r="AD21" s="9" t="inlineStr">
        <is>
          <t>M21
ISR
#1
11:00-15:00</t>
        </is>
      </c>
      <c r="AE21" s="9" t="inlineStr">
        <is>
          <t>M21
ISR
#1
15:00-19:00</t>
        </is>
      </c>
      <c r="AF21" s="9" t="inlineStr">
        <is>
          <t>GJ1</t>
        </is>
      </c>
      <c r="AG21" s="9" t="inlineStr">
        <is>
          <t>M12
ISR
#1
17:00-21:00</t>
        </is>
      </c>
      <c r="AH21" s="9" t="inlineStr">
        <is>
          <t>H</t>
        </is>
      </c>
      <c r="AI21" s="9" t="inlineStr">
        <is>
          <t>H</t>
        </is>
      </c>
      <c r="AJ21" s="9" t="inlineStr">
        <is>
          <t>M12
ISR</t>
        </is>
      </c>
    </row>
    <row r="22">
      <c r="A22" s="1" t="inlineStr">
        <is>
          <t>36186-4</t>
        </is>
      </c>
      <c r="B22" s="1" t="inlineStr">
        <is>
          <t>SAKIHAMA SH</t>
        </is>
      </c>
      <c r="C22" s="1" t="inlineStr"/>
      <c r="D22" s="1" t="inlineStr">
        <is>
          <t>NTW001</t>
        </is>
      </c>
      <c r="E22" s="1" t="n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>
        <f>HYPERLINK("#Schedule!F81", "I北村 YA (37755)")</f>
        <v/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>
        <f>HYPERLINK("#Schedule!F269", "I永澤 TA (49245)")</f>
        <v/>
      </c>
      <c r="AE22" s="9">
        <f>HYPERLINK("#Schedule!F69", "T古川 DA (41218)")</f>
        <v/>
      </c>
      <c r="AF22" s="9" t="inlineStr"/>
      <c r="AG22" s="9">
        <f>HYPERLINK("#Schedule!F119", "T川瀨 HI (67211)")</f>
        <v/>
      </c>
      <c r="AH22" s="9" t="inlineStr"/>
      <c r="AI22" s="9" t="inlineStr"/>
      <c r="AJ22" s="9" t="inlineStr"/>
    </row>
    <row r="23">
      <c r="A23" s="1" t="inlineStr">
        <is>
          <t>36186-5</t>
        </is>
      </c>
      <c r="B23" s="1" t="inlineStr">
        <is>
          <t>SAKIHAMA SH</t>
        </is>
      </c>
      <c r="C23" s="1" t="inlineStr"/>
      <c r="D23" s="1" t="inlineStr">
        <is>
          <t>NTW001</t>
        </is>
      </c>
      <c r="E23" s="1" t="n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>
        <f>HYPERLINK("#Schedule!F269", "T永澤 TA (49245)")</f>
        <v/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</row>
    <row r="24">
      <c r="A24" s="1" t="inlineStr">
        <is>
          <t>67665-1</t>
        </is>
      </c>
      <c r="B24" s="1" t="inlineStr">
        <is>
          <t>AOKI TO</t>
        </is>
      </c>
      <c r="C24" s="1" t="inlineStr"/>
      <c r="D24" s="1" t="inlineStr">
        <is>
          <t>NTW001</t>
        </is>
      </c>
      <c r="E24" s="1" t="n"/>
      <c r="F24" s="4" t="inlineStr">
        <is>
          <t>青木 TO</t>
        </is>
      </c>
      <c r="G24" s="4" t="inlineStr">
        <is>
          <t>TO</t>
        </is>
      </c>
      <c r="H24" s="4" t="inlineStr">
        <is>
          <t>機種：</t>
        </is>
      </c>
      <c r="I24" s="4" t="inlineStr">
        <is>
          <t>787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00067665</t>
        </is>
      </c>
      <c r="O24" s="4" t="inlineStr">
        <is>
          <t>所属：</t>
        </is>
      </c>
      <c r="P24" s="4" t="inlineStr">
        <is>
          <t>NTZNT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3T250906</t>
        </is>
      </c>
      <c r="U24" s="4" t="inlineStr">
        <is>
          <t>L/D：</t>
        </is>
      </c>
      <c r="V24" s="4" t="inlineStr">
        <is>
          <t>3L250908</t>
        </is>
      </c>
      <c r="W24" s="4" t="inlineStr">
        <is>
          <t>PE：</t>
        </is>
      </c>
      <c r="X24" s="5" t="inlineStr">
        <is>
          <t>PE250822</t>
        </is>
      </c>
      <c r="Y24" s="4" t="inlineStr">
        <is>
          <t>誕生月：</t>
        </is>
      </c>
      <c r="Z24" s="4" t="inlineStr">
        <is>
          <t>10</t>
        </is>
      </c>
      <c r="AA24" s="6" t="inlineStr">
        <is>
          <t>電話：</t>
        </is>
      </c>
      <c r="AB24" s="6" t="inlineStr">
        <is>
          <t>0476-47-3423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>
        <is>
          <t>NTW001</t>
        </is>
      </c>
    </row>
    <row r="25">
      <c r="A25" s="1" t="inlineStr">
        <is>
          <t>67665-2</t>
        </is>
      </c>
      <c r="B25" s="1" t="inlineStr">
        <is>
          <t>AOKI TO</t>
        </is>
      </c>
      <c r="C25" s="1" t="inlineStr"/>
      <c r="D25" s="1" t="inlineStr">
        <is>
          <t>NTW001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10" t="inlineStr">
        <is>
          <t>06</t>
        </is>
      </c>
      <c r="L25" s="7" t="inlineStr">
        <is>
          <t>07</t>
        </is>
      </c>
      <c r="M25" s="7" t="inlineStr">
        <is>
          <t>08</t>
        </is>
      </c>
      <c r="N25" s="8" t="inlineStr">
        <is>
          <t>09</t>
        </is>
      </c>
      <c r="O25" s="7" t="inlineStr">
        <is>
          <t>10</t>
        </is>
      </c>
      <c r="P25" s="8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7" t="inlineStr">
        <is>
          <t>20</t>
        </is>
      </c>
      <c r="Z25" s="7" t="inlineStr">
        <is>
          <t>21</t>
        </is>
      </c>
      <c r="AA25" s="7" t="inlineStr">
        <is>
          <t>22</t>
        </is>
      </c>
      <c r="AB25" s="7" t="inlineStr">
        <is>
          <t>23</t>
        </is>
      </c>
      <c r="AC25" s="12" t="inlineStr">
        <is>
          <t>24</t>
        </is>
      </c>
      <c r="AD25" s="12" t="inlineStr">
        <is>
          <t>25</t>
        </is>
      </c>
      <c r="AE25" s="7" t="inlineStr">
        <is>
          <t>26</t>
        </is>
      </c>
      <c r="AF25" s="8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67665-3</t>
        </is>
      </c>
      <c r="B26" s="1" t="inlineStr">
        <is>
          <t>AOKI TO</t>
        </is>
      </c>
      <c r="C26" s="1" t="inlineStr"/>
      <c r="D26" s="1" t="inlineStr">
        <is>
          <t>NTW001</t>
        </is>
      </c>
      <c r="E26" s="1" t="n"/>
      <c r="F26" s="9" t="inlineStr">
        <is>
          <t>---</t>
        </is>
      </c>
      <c r="G26" s="9" t="inlineStr">
        <is>
          <t>17</t>
        </is>
      </c>
      <c r="H26" s="9" t="inlineStr">
        <is>
          <t>*H</t>
        </is>
      </c>
      <c r="I26" s="9" t="inlineStr">
        <is>
          <t>*H</t>
        </is>
      </c>
      <c r="J26" s="9" t="inlineStr">
        <is>
          <t>H</t>
        </is>
      </c>
      <c r="K26" s="9" t="inlineStr">
        <is>
          <t>M21
ISR
#1
05:00-09:00</t>
        </is>
      </c>
      <c r="L26" s="9" t="inlineStr">
        <is>
          <t>H</t>
        </is>
      </c>
      <c r="M26" s="9" t="inlineStr">
        <is>
          <t>PE
PEF TRN
PE
PEF TRN</t>
        </is>
      </c>
      <c r="N26" s="9" t="inlineStr">
        <is>
          <t>74
CMD ISR</t>
        </is>
      </c>
      <c r="O26" s="9" t="inlineStr">
        <is>
          <t>---</t>
        </is>
      </c>
      <c r="P26" s="9" t="inlineStr">
        <is>
          <t>793
CMD ISR
208DH</t>
        </is>
      </c>
      <c r="Q26" s="9" t="inlineStr">
        <is>
          <t>*H</t>
        </is>
      </c>
      <c r="R26" s="9" t="inlineStr">
        <is>
          <t>H/VAC</t>
        </is>
      </c>
      <c r="S26" s="9" t="inlineStr">
        <is>
          <t>VAC</t>
        </is>
      </c>
      <c r="T26" s="9" t="inlineStr">
        <is>
          <t>VAC</t>
        </is>
      </c>
      <c r="U26" s="9" t="inlineStr">
        <is>
          <t>VAC</t>
        </is>
      </c>
      <c r="V26" s="9" t="inlineStr">
        <is>
          <t>VAC</t>
        </is>
      </c>
      <c r="W26" s="9" t="inlineStr">
        <is>
          <t>CAUG
ISR
#1
15:00-17:00
OJTS</t>
        </is>
      </c>
      <c r="X26" s="9" t="inlineStr">
        <is>
          <t>51</t>
        </is>
      </c>
      <c r="Y26" s="9" t="inlineStr">
        <is>
          <t>---</t>
        </is>
      </c>
      <c r="Z26" s="9" t="inlineStr">
        <is>
          <t>52</t>
        </is>
      </c>
      <c r="AA26" s="9" t="inlineStr">
        <is>
          <t>H</t>
        </is>
      </c>
      <c r="AB26" s="9" t="inlineStr">
        <is>
          <t>H</t>
        </is>
      </c>
      <c r="AC26" s="9" t="inlineStr">
        <is>
          <t>M11
TRN
#1
09:00-11:00</t>
        </is>
      </c>
      <c r="AD26" s="9" t="inlineStr">
        <is>
          <t>M12
TRN
#2
09:00-13:00</t>
        </is>
      </c>
      <c r="AE26" s="9" t="inlineStr">
        <is>
          <t>H</t>
        </is>
      </c>
      <c r="AF26" s="9" t="inlineStr">
        <is>
          <t>133
CMD ISR
138
CMD ISR</t>
        </is>
      </c>
      <c r="AG26" s="9" t="inlineStr">
        <is>
          <t>H</t>
        </is>
      </c>
      <c r="AH26" s="9" t="inlineStr">
        <is>
          <t>GMT1</t>
        </is>
      </c>
      <c r="AI26" s="9" t="inlineStr">
        <is>
          <t>95</t>
        </is>
      </c>
      <c r="AJ26" s="9" t="inlineStr">
        <is>
          <t>---</t>
        </is>
      </c>
    </row>
    <row r="27">
      <c r="A27" s="1" t="inlineStr">
        <is>
          <t>67665-4</t>
        </is>
      </c>
      <c r="B27" s="1" t="inlineStr">
        <is>
          <t>AOKI TO</t>
        </is>
      </c>
      <c r="C27" s="1" t="inlineStr"/>
      <c r="D27" s="1" t="inlineStr">
        <is>
          <t>NTW001</t>
        </is>
      </c>
      <c r="E27" s="1" t="n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>
        <f>HYPERLINK("#Schedule!F370", "YAGIHASHIMS (53785)")</f>
        <v/>
      </c>
      <c r="O27" s="9" t="inlineStr"/>
      <c r="P27" s="9">
        <f>HYPERLINK("#Schedule!F370", "YAGIHASHIMS (53785)")</f>
        <v/>
      </c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>
        <is>
          <t>I福島 JU</t>
        </is>
      </c>
      <c r="AE27" s="9" t="inlineStr"/>
      <c r="AF27" s="9">
        <f>HYPERLINK("#Schedule!F338", "SAITOYT (53880)")</f>
        <v/>
      </c>
      <c r="AG27" s="9" t="inlineStr"/>
      <c r="AH27" s="9" t="inlineStr"/>
      <c r="AI27" s="9" t="inlineStr"/>
      <c r="AJ27" s="9" t="inlineStr"/>
    </row>
    <row r="28">
      <c r="A28" s="1" t="inlineStr">
        <is>
          <t>67849-1</t>
        </is>
      </c>
      <c r="B28" s="1" t="inlineStr">
        <is>
          <t>MOHRI YO</t>
        </is>
      </c>
      <c r="C28" s="1" t="inlineStr"/>
      <c r="D28" s="1" t="inlineStr">
        <is>
          <t>NTW001</t>
        </is>
      </c>
      <c r="E28" s="1" t="n"/>
      <c r="F28" s="4" t="inlineStr">
        <is>
          <t>毛利 YO</t>
        </is>
      </c>
      <c r="G28" s="4" t="inlineStr">
        <is>
          <t>YS</t>
        </is>
      </c>
      <c r="H28" s="4" t="inlineStr">
        <is>
          <t>機種：</t>
        </is>
      </c>
      <c r="I28" s="4" t="inlineStr">
        <is>
          <t>787</t>
        </is>
      </c>
      <c r="J28" s="4" t="inlineStr">
        <is>
          <t>ランク：</t>
        </is>
      </c>
      <c r="K28" s="4" t="inlineStr">
        <is>
          <t>CAP</t>
        </is>
      </c>
      <c r="L28" s="4" t="inlineStr">
        <is>
          <t>期：</t>
        </is>
      </c>
      <c r="M28" s="4" t="inlineStr">
        <is>
          <t>職番：</t>
        </is>
      </c>
      <c r="N28" s="4" t="inlineStr">
        <is>
          <t>00067849</t>
        </is>
      </c>
      <c r="O28" s="4" t="inlineStr">
        <is>
          <t>所属：</t>
        </is>
      </c>
      <c r="P28" s="4" t="inlineStr">
        <is>
          <t>NTZNT</t>
        </is>
      </c>
      <c r="Q28" s="4" t="inlineStr">
        <is>
          <t>CAT資：</t>
        </is>
      </c>
      <c r="R28" s="4" t="inlineStr">
        <is>
          <t>CAT3</t>
        </is>
      </c>
      <c r="S28" s="4" t="inlineStr">
        <is>
          <t>T/O：</t>
        </is>
      </c>
      <c r="T28" s="4" t="inlineStr">
        <is>
          <t>3T251005</t>
        </is>
      </c>
      <c r="U28" s="4" t="inlineStr">
        <is>
          <t>L/D：</t>
        </is>
      </c>
      <c r="V28" s="4" t="inlineStr">
        <is>
          <t>3L251005</t>
        </is>
      </c>
      <c r="W28" s="4" t="inlineStr">
        <is>
          <t>PE：</t>
        </is>
      </c>
      <c r="X28" s="5" t="inlineStr">
        <is>
          <t>PE251204</t>
        </is>
      </c>
      <c r="Y28" s="4" t="inlineStr">
        <is>
          <t>誕生月：</t>
        </is>
      </c>
      <c r="Z28" s="4" t="inlineStr">
        <is>
          <t>04</t>
        </is>
      </c>
      <c r="AA28" s="6" t="inlineStr">
        <is>
          <t>電話：</t>
        </is>
      </c>
      <c r="AB28" s="6" t="inlineStr">
        <is>
          <t>080-1047-7792</t>
        </is>
      </c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>
        <is>
          <t>NTW001</t>
        </is>
      </c>
    </row>
    <row r="29">
      <c r="A29" s="1" t="inlineStr">
        <is>
          <t>67849-2</t>
        </is>
      </c>
      <c r="B29" s="1" t="inlineStr">
        <is>
          <t>MOHRI YO</t>
        </is>
      </c>
      <c r="C29" s="1" t="inlineStr"/>
      <c r="D29" s="1" t="inlineStr">
        <is>
          <t>NTW001</t>
        </is>
      </c>
      <c r="E29" s="1" t="n"/>
      <c r="F29" s="10" t="inlineStr">
        <is>
          <t>01</t>
        </is>
      </c>
      <c r="G29" s="7" t="inlineStr">
        <is>
          <t>02</t>
        </is>
      </c>
      <c r="H29" s="7" t="inlineStr">
        <is>
          <t>03</t>
        </is>
      </c>
      <c r="I29" s="7" t="inlineStr">
        <is>
          <t>04</t>
        </is>
      </c>
      <c r="J29" s="7" t="inlineStr">
        <is>
          <t>05</t>
        </is>
      </c>
      <c r="K29" s="7" t="inlineStr">
        <is>
          <t>06</t>
        </is>
      </c>
      <c r="L29" s="7" t="inlineStr">
        <is>
          <t>07</t>
        </is>
      </c>
      <c r="M29" s="12" t="inlineStr">
        <is>
          <t>08</t>
        </is>
      </c>
      <c r="N29" s="12" t="inlineStr">
        <is>
          <t>09</t>
        </is>
      </c>
      <c r="O29" s="8" t="inlineStr">
        <is>
          <t>10</t>
        </is>
      </c>
      <c r="P29" s="8" t="inlineStr">
        <is>
          <t>11</t>
        </is>
      </c>
      <c r="Q29" s="7" t="inlineStr">
        <is>
          <t>12</t>
        </is>
      </c>
      <c r="R29" s="7" t="inlineStr">
        <is>
          <t>13</t>
        </is>
      </c>
      <c r="S29" s="7" t="inlineStr">
        <is>
          <t>14</t>
        </is>
      </c>
      <c r="T29" s="7" t="inlineStr">
        <is>
          <t>15</t>
        </is>
      </c>
      <c r="U29" s="7" t="inlineStr">
        <is>
          <t>16</t>
        </is>
      </c>
      <c r="V29" s="7" t="inlineStr">
        <is>
          <t>17</t>
        </is>
      </c>
      <c r="W29" s="7" t="inlineStr">
        <is>
          <t>18</t>
        </is>
      </c>
      <c r="X29" s="7" t="inlineStr">
        <is>
          <t>19</t>
        </is>
      </c>
      <c r="Y29" s="7" t="inlineStr">
        <is>
          <t>20</t>
        </is>
      </c>
      <c r="Z29" s="7" t="inlineStr">
        <is>
          <t>21</t>
        </is>
      </c>
      <c r="AA29" s="7" t="inlineStr">
        <is>
          <t>22</t>
        </is>
      </c>
      <c r="AB29" s="7" t="inlineStr">
        <is>
          <t>23</t>
        </is>
      </c>
      <c r="AC29" s="8" t="inlineStr">
        <is>
          <t>24</t>
        </is>
      </c>
      <c r="AD29" s="7" t="inlineStr">
        <is>
          <t>25</t>
        </is>
      </c>
      <c r="AE29" s="7" t="inlineStr">
        <is>
          <t>26</t>
        </is>
      </c>
      <c r="AF29" s="8" t="inlineStr">
        <is>
          <t>27</t>
        </is>
      </c>
      <c r="AG29" s="7" t="inlineStr">
        <is>
          <t>28</t>
        </is>
      </c>
      <c r="AH29" s="7" t="inlineStr">
        <is>
          <t>29</t>
        </is>
      </c>
      <c r="AI29" s="7" t="inlineStr">
        <is>
          <t>30</t>
        </is>
      </c>
      <c r="AJ29" s="7" t="inlineStr">
        <is>
          <t>31</t>
        </is>
      </c>
    </row>
    <row r="30">
      <c r="A30" s="1" t="inlineStr">
        <is>
          <t>67849-3</t>
        </is>
      </c>
      <c r="B30" s="1" t="inlineStr">
        <is>
          <t>MOHRI YO</t>
        </is>
      </c>
      <c r="C30" s="1" t="inlineStr"/>
      <c r="D30" s="1" t="inlineStr">
        <is>
          <t>NTW001</t>
        </is>
      </c>
      <c r="E30" s="1" t="n"/>
      <c r="F30" s="9" t="inlineStr">
        <is>
          <t>M22
ISR
#1
11:00-15:00</t>
        </is>
      </c>
      <c r="G30" s="9" t="inlineStr">
        <is>
          <t>H</t>
        </is>
      </c>
      <c r="H30" s="9" t="inlineStr">
        <is>
          <t>51</t>
        </is>
      </c>
      <c r="I30" s="9" t="inlineStr">
        <is>
          <t>---</t>
        </is>
      </c>
      <c r="J30" s="9" t="inlineStr">
        <is>
          <t>52</t>
        </is>
      </c>
      <c r="K30" s="9" t="inlineStr">
        <is>
          <t>H</t>
        </is>
      </c>
      <c r="L30" s="9" t="inlineStr">
        <is>
          <t>H</t>
        </is>
      </c>
      <c r="M30" s="9" t="inlineStr">
        <is>
          <t>M21
TRN
#1
05:00-09:00</t>
        </is>
      </c>
      <c r="N30" s="9" t="inlineStr">
        <is>
          <t>M22
TRN
#1
19:00-23:00</t>
        </is>
      </c>
      <c r="O30" s="9" t="inlineStr">
        <is>
          <t>735
CMD ISR</t>
        </is>
      </c>
      <c r="P30" s="9" t="inlineStr">
        <is>
          <t>26
CMD ISR</t>
        </is>
      </c>
      <c r="Q30" s="9" t="inlineStr">
        <is>
          <t>HH</t>
        </is>
      </c>
      <c r="R30" s="9" t="inlineStr">
        <is>
          <t>HH</t>
        </is>
      </c>
      <c r="S30" s="9" t="inlineStr">
        <is>
          <t>H/PEX</t>
        </is>
      </c>
      <c r="T30" s="9" t="inlineStr">
        <is>
          <t>H</t>
        </is>
      </c>
      <c r="U30" s="9" t="inlineStr">
        <is>
          <t>S18</t>
        </is>
      </c>
      <c r="V30" s="9" t="inlineStr">
        <is>
          <t>SX</t>
        </is>
      </c>
      <c r="W30" s="9" t="inlineStr">
        <is>
          <t>18</t>
        </is>
      </c>
      <c r="X30" s="9" t="inlineStr">
        <is>
          <t>---</t>
        </is>
      </c>
      <c r="Y30" s="9" t="inlineStr">
        <is>
          <t>17</t>
        </is>
      </c>
      <c r="Z30" s="9" t="inlineStr">
        <is>
          <t>*H</t>
        </is>
      </c>
      <c r="AA30" s="9" t="inlineStr">
        <is>
          <t>H</t>
        </is>
      </c>
      <c r="AB30" s="9" t="inlineStr">
        <is>
          <t>H</t>
        </is>
      </c>
      <c r="AC30" s="9" t="inlineStr">
        <is>
          <t>729
CMD ISR</t>
        </is>
      </c>
      <c r="AD30" s="9" t="inlineStr">
        <is>
          <t>---</t>
        </is>
      </c>
      <c r="AE30" s="9" t="inlineStr">
        <is>
          <t>---</t>
        </is>
      </c>
      <c r="AF30" s="9" t="inlineStr">
        <is>
          <t>720
CMD ISR</t>
        </is>
      </c>
      <c r="AG30" s="9" t="inlineStr">
        <is>
          <t>H</t>
        </is>
      </c>
      <c r="AH30" s="9" t="inlineStr">
        <is>
          <t>GMT1</t>
        </is>
      </c>
      <c r="AI30" s="9" t="inlineStr">
        <is>
          <t>R_</t>
        </is>
      </c>
      <c r="AJ30" s="9" t="inlineStr">
        <is>
          <t>R_</t>
        </is>
      </c>
    </row>
    <row r="31">
      <c r="A31" s="1" t="inlineStr">
        <is>
          <t>67849-4</t>
        </is>
      </c>
      <c r="B31" s="1" t="inlineStr">
        <is>
          <t>MOHRI YO</t>
        </is>
      </c>
      <c r="C31" s="1" t="inlineStr"/>
      <c r="D31" s="1" t="inlineStr">
        <is>
          <t>NTW001</t>
        </is>
      </c>
      <c r="E31" s="1" t="n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>
        <f>HYPERLINK("#Schedule!F269", "I永澤 TA (49245)")</f>
        <v/>
      </c>
      <c r="N31" s="9">
        <f>HYPERLINK("#Schedule!F208", "I本田 SH (40789)")</f>
        <v/>
      </c>
      <c r="O31" s="9">
        <f>HYPERLINK("#Schedule!F425", "KIMURAYU (53824)")</f>
        <v/>
      </c>
      <c r="P31" s="9">
        <f>HYPERLINK("#Schedule!F425", "KIMURAYU (53824)")</f>
        <v/>
      </c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>
        <f>HYPERLINK("#Schedule!F370", "YAGIHASHIMS (53785)")</f>
        <v/>
      </c>
      <c r="AD31" s="9" t="inlineStr"/>
      <c r="AE31" s="9" t="inlineStr"/>
      <c r="AF31" s="9">
        <f>HYPERLINK("#Schedule!F370", "YAGIHASHIMS (53785)")</f>
        <v/>
      </c>
      <c r="AG31" s="9" t="inlineStr"/>
      <c r="AH31" s="9" t="inlineStr"/>
      <c r="AI31" s="9" t="inlineStr"/>
      <c r="AJ31" s="9" t="inlineStr"/>
    </row>
    <row r="32">
      <c r="A32" s="1" t="inlineStr">
        <is>
          <t>37702-1</t>
        </is>
      </c>
      <c r="B32" s="1" t="inlineStr">
        <is>
          <t>KITAGAWA IC</t>
        </is>
      </c>
      <c r="C32" s="1" t="inlineStr"/>
      <c r="D32" s="1" t="inlineStr">
        <is>
          <t>NTW001</t>
        </is>
      </c>
      <c r="E32" s="1" t="n"/>
      <c r="F32" s="4" t="inlineStr">
        <is>
          <t>北川 IC</t>
        </is>
      </c>
      <c r="G32" s="4" t="inlineStr">
        <is>
          <t>IC</t>
        </is>
      </c>
      <c r="H32" s="4" t="inlineStr">
        <is>
          <t>機種：</t>
        </is>
      </c>
      <c r="I32" s="4" t="inlineStr">
        <is>
          <t>787</t>
        </is>
      </c>
      <c r="J32" s="4" t="inlineStr">
        <is>
          <t>ランク：</t>
        </is>
      </c>
      <c r="K32" s="4" t="inlineStr">
        <is>
          <t>CAP</t>
        </is>
      </c>
      <c r="L32" s="4" t="inlineStr">
        <is>
          <t>期：</t>
        </is>
      </c>
      <c r="M32" s="4" t="inlineStr">
        <is>
          <t>職番：</t>
        </is>
      </c>
      <c r="N32" s="4" t="inlineStr">
        <is>
          <t>00037702</t>
        </is>
      </c>
      <c r="O32" s="4" t="inlineStr">
        <is>
          <t>所属：</t>
        </is>
      </c>
      <c r="P32" s="4" t="inlineStr">
        <is>
          <t>NTZNT</t>
        </is>
      </c>
      <c r="Q32" s="4" t="inlineStr">
        <is>
          <t>CAT資：</t>
        </is>
      </c>
      <c r="R32" s="4" t="inlineStr">
        <is>
          <t>CAT3</t>
        </is>
      </c>
      <c r="S32" s="4" t="inlineStr">
        <is>
          <t>T/O：</t>
        </is>
      </c>
      <c r="T32" s="4" t="inlineStr">
        <is>
          <t>3T250905</t>
        </is>
      </c>
      <c r="U32" s="4" t="inlineStr">
        <is>
          <t>L/D：</t>
        </is>
      </c>
      <c r="V32" s="4" t="inlineStr">
        <is>
          <t>3L250905</t>
        </is>
      </c>
      <c r="W32" s="4" t="inlineStr">
        <is>
          <t>PE：</t>
        </is>
      </c>
      <c r="X32" s="5" t="inlineStr">
        <is>
          <t>PE260614</t>
        </is>
      </c>
      <c r="Y32" s="4" t="inlineStr">
        <is>
          <t>誕生月：</t>
        </is>
      </c>
      <c r="Z32" s="4" t="inlineStr">
        <is>
          <t>12</t>
        </is>
      </c>
      <c r="AA32" s="6" t="inlineStr">
        <is>
          <t>電話：</t>
        </is>
      </c>
      <c r="AB32" s="6" t="inlineStr">
        <is>
          <t>0467-25-1475</t>
        </is>
      </c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>
        <is>
          <t>NTW001</t>
        </is>
      </c>
    </row>
    <row r="33">
      <c r="A33" s="1" t="inlineStr">
        <is>
          <t>37702-2</t>
        </is>
      </c>
      <c r="B33" s="1" t="inlineStr">
        <is>
          <t>KITAGAWA IC</t>
        </is>
      </c>
      <c r="C33" s="1" t="inlineStr"/>
      <c r="D33" s="1" t="inlineStr">
        <is>
          <t>NTW001</t>
        </is>
      </c>
      <c r="E33" s="1" t="n"/>
      <c r="F33" s="10" t="inlineStr">
        <is>
          <t>01</t>
        </is>
      </c>
      <c r="G33" s="7" t="inlineStr">
        <is>
          <t>02</t>
        </is>
      </c>
      <c r="H33" s="7" t="inlineStr">
        <is>
          <t>03</t>
        </is>
      </c>
      <c r="I33" s="7" t="inlineStr">
        <is>
          <t>04</t>
        </is>
      </c>
      <c r="J33" s="7" t="inlineStr">
        <is>
          <t>05</t>
        </is>
      </c>
      <c r="K33" s="7" t="inlineStr">
        <is>
          <t>06</t>
        </is>
      </c>
      <c r="L33" s="7" t="inlineStr">
        <is>
          <t>07</t>
        </is>
      </c>
      <c r="M33" s="7" t="inlineStr">
        <is>
          <t>08</t>
        </is>
      </c>
      <c r="N33" s="7" t="inlineStr">
        <is>
          <t>09</t>
        </is>
      </c>
      <c r="O33" s="13" t="inlineStr">
        <is>
          <t>10</t>
        </is>
      </c>
      <c r="P33" s="7" t="inlineStr">
        <is>
          <t>11</t>
        </is>
      </c>
      <c r="Q33" s="7" t="inlineStr">
        <is>
          <t>12</t>
        </is>
      </c>
      <c r="R33" s="8" t="inlineStr">
        <is>
          <t>13</t>
        </is>
      </c>
      <c r="S33" s="7" t="inlineStr">
        <is>
          <t>14</t>
        </is>
      </c>
      <c r="T33" s="7" t="inlineStr">
        <is>
          <t>15</t>
        </is>
      </c>
      <c r="U33" s="8" t="inlineStr">
        <is>
          <t>16</t>
        </is>
      </c>
      <c r="V33" s="8" t="inlineStr">
        <is>
          <t>17</t>
        </is>
      </c>
      <c r="W33" s="7" t="inlineStr">
        <is>
          <t>18</t>
        </is>
      </c>
      <c r="X33" s="7" t="inlineStr">
        <is>
          <t>19</t>
        </is>
      </c>
      <c r="Y33" s="7" t="inlineStr">
        <is>
          <t>20</t>
        </is>
      </c>
      <c r="Z33" s="7" t="inlineStr">
        <is>
          <t>21</t>
        </is>
      </c>
      <c r="AA33" s="7" t="inlineStr">
        <is>
          <t>22</t>
        </is>
      </c>
      <c r="AB33" s="7" t="inlineStr">
        <is>
          <t>23</t>
        </is>
      </c>
      <c r="AC33" s="7" t="inlineStr">
        <is>
          <t>24</t>
        </is>
      </c>
      <c r="AD33" s="14" t="inlineStr">
        <is>
          <t>25</t>
        </is>
      </c>
      <c r="AE33" s="7" t="inlineStr">
        <is>
          <t>26</t>
        </is>
      </c>
      <c r="AF33" s="7" t="inlineStr">
        <is>
          <t>27</t>
        </is>
      </c>
      <c r="AG33" s="7" t="inlineStr">
        <is>
          <t>28</t>
        </is>
      </c>
      <c r="AH33" s="7" t="inlineStr">
        <is>
          <t>29</t>
        </is>
      </c>
      <c r="AI33" s="7" t="inlineStr">
        <is>
          <t>30</t>
        </is>
      </c>
      <c r="AJ33" s="7" t="inlineStr">
        <is>
          <t>31</t>
        </is>
      </c>
    </row>
    <row r="34">
      <c r="A34" s="1" t="inlineStr">
        <is>
          <t>37702-3</t>
        </is>
      </c>
      <c r="B34" s="1" t="inlineStr">
        <is>
          <t>KITAGAWA IC</t>
        </is>
      </c>
      <c r="C34" s="1" t="inlineStr"/>
      <c r="D34" s="1" t="inlineStr">
        <is>
          <t>NTW001</t>
        </is>
      </c>
      <c r="E34" s="1" t="n"/>
      <c r="F34" s="9" t="inlineStr">
        <is>
          <t>M12
ISR
#2
11:00-15:00</t>
        </is>
      </c>
      <c r="G34" s="9" t="inlineStr">
        <is>
          <t>ISR
ISR
#2
11:00-15:00</t>
        </is>
      </c>
      <c r="H34" s="9" t="inlineStr">
        <is>
          <t>H</t>
        </is>
      </c>
      <c r="I34" s="9" t="inlineStr">
        <is>
          <t>39</t>
        </is>
      </c>
      <c r="J34" s="9" t="inlineStr">
        <is>
          <t>---</t>
        </is>
      </c>
      <c r="K34" s="9" t="inlineStr">
        <is>
          <t>30</t>
        </is>
      </c>
      <c r="L34" s="9" t="inlineStr">
        <is>
          <t>H</t>
        </is>
      </c>
      <c r="M34" s="9" t="inlineStr">
        <is>
          <t>H</t>
        </is>
      </c>
      <c r="N34" s="9" t="inlineStr">
        <is>
          <t>SX</t>
        </is>
      </c>
      <c r="O34" s="9" t="inlineStr">
        <is>
          <t>EDU
LPS TRN
EDU
LPS TRN</t>
        </is>
      </c>
      <c r="P34" s="9" t="inlineStr">
        <is>
          <t>H</t>
        </is>
      </c>
      <c r="Q34" s="9" t="inlineStr">
        <is>
          <t>RF</t>
        </is>
      </c>
      <c r="R34" s="9" t="inlineStr">
        <is>
          <t>133
VLDP ISR
138
VLDP ISR</t>
        </is>
      </c>
      <c r="S34" s="9" t="inlineStr">
        <is>
          <t>H</t>
        </is>
      </c>
      <c r="T34" s="9" t="inlineStr">
        <is>
          <t>MIDNIT</t>
        </is>
      </c>
      <c r="U34" s="9" t="inlineStr">
        <is>
          <t>77
VLDP ISR</t>
        </is>
      </c>
      <c r="V34" s="9" t="inlineStr">
        <is>
          <t>746
VLDP ISR</t>
        </is>
      </c>
      <c r="W34" s="9" t="inlineStr">
        <is>
          <t>VAC</t>
        </is>
      </c>
      <c r="X34" s="9" t="inlineStr">
        <is>
          <t>H</t>
        </is>
      </c>
      <c r="Y34" s="9" t="inlineStr">
        <is>
          <t>MTG1</t>
        </is>
      </c>
      <c r="Z34" s="9" t="inlineStr">
        <is>
          <t>R</t>
        </is>
      </c>
      <c r="AA34" s="9" t="inlineStr">
        <is>
          <t>CMD
ISR
#2
21:00-23:00</t>
        </is>
      </c>
      <c r="AB34" s="9" t="inlineStr">
        <is>
          <t>H</t>
        </is>
      </c>
      <c r="AC34" s="9" t="inlineStr">
        <is>
          <t>R</t>
        </is>
      </c>
      <c r="AD34" s="9" t="inlineStr">
        <is>
          <t>FOTR
TRN
#1
07:00-11:00
FOTR/RSV</t>
        </is>
      </c>
      <c r="AE34" s="9" t="inlineStr">
        <is>
          <t>HH</t>
        </is>
      </c>
      <c r="AF34" s="9" t="inlineStr">
        <is>
          <t>HH</t>
        </is>
      </c>
      <c r="AG34" s="9" t="inlineStr">
        <is>
          <t>23
24</t>
        </is>
      </c>
      <c r="AH34" s="9" t="inlineStr">
        <is>
          <t>ISR
ISR</t>
        </is>
      </c>
      <c r="AI34" s="9" t="inlineStr">
        <is>
          <t>H</t>
        </is>
      </c>
      <c r="AJ34" s="9" t="inlineStr">
        <is>
          <t>EGT
EGT TRN</t>
        </is>
      </c>
    </row>
    <row r="35">
      <c r="A35" s="1" t="inlineStr">
        <is>
          <t>37702-4</t>
        </is>
      </c>
      <c r="B35" s="1" t="inlineStr">
        <is>
          <t>KITAGAWA IC</t>
        </is>
      </c>
      <c r="C35" s="1" t="inlineStr"/>
      <c r="D35" s="1" t="inlineStr">
        <is>
          <t>NTW001</t>
        </is>
      </c>
      <c r="E35" s="1" t="n"/>
      <c r="F35" s="9" t="inlineStr"/>
      <c r="G35" s="9" t="inlineStr">
        <is>
          <t>T山本KC</t>
        </is>
      </c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>
        <f>HYPERLINK("#Schedule!F398", "UMEMIYAMA (53878)")</f>
        <v/>
      </c>
      <c r="S35" s="9" t="inlineStr"/>
      <c r="T35" s="9" t="inlineStr"/>
      <c r="U35" s="9">
        <f>HYPERLINK("#Schedule!F398", "UMEMIYAMA (53878)")</f>
        <v/>
      </c>
      <c r="V35" s="9">
        <f>HYPERLINK("#Schedule!F398", "UMEMIYAMA (53878)")</f>
        <v/>
      </c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</row>
    <row r="36">
      <c r="A36" s="1" t="inlineStr">
        <is>
          <t>37702-5</t>
        </is>
      </c>
      <c r="B36" s="1" t="inlineStr">
        <is>
          <t>KITAGAWA IC</t>
        </is>
      </c>
      <c r="C36" s="1" t="inlineStr"/>
      <c r="D36" s="1" t="inlineStr">
        <is>
          <t>NTW001</t>
        </is>
      </c>
      <c r="E36" s="1" t="n"/>
      <c r="F36" s="9" t="inlineStr"/>
      <c r="G36" s="9" t="inlineStr">
        <is>
          <t>T渡部 YU</t>
        </is>
      </c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</row>
    <row r="37">
      <c r="A37" s="1" t="inlineStr">
        <is>
          <t>37746-1</t>
        </is>
      </c>
      <c r="B37" s="1" t="inlineStr">
        <is>
          <t>HOSOKAWA SH</t>
        </is>
      </c>
      <c r="C37" s="1" t="inlineStr"/>
      <c r="D37" s="1" t="inlineStr">
        <is>
          <t>NTW001</t>
        </is>
      </c>
      <c r="E37" s="1" t="n"/>
      <c r="F37" s="4" t="inlineStr">
        <is>
          <t>細川 SH</t>
        </is>
      </c>
      <c r="G37" s="4" t="inlineStr">
        <is>
          <t>SH</t>
        </is>
      </c>
      <c r="H37" s="4" t="inlineStr">
        <is>
          <t>機種：</t>
        </is>
      </c>
      <c r="I37" s="4" t="inlineStr">
        <is>
          <t>787</t>
        </is>
      </c>
      <c r="J37" s="4" t="inlineStr">
        <is>
          <t>ランク：</t>
        </is>
      </c>
      <c r="K37" s="4" t="inlineStr">
        <is>
          <t>CAP</t>
        </is>
      </c>
      <c r="L37" s="4" t="inlineStr">
        <is>
          <t>期：</t>
        </is>
      </c>
      <c r="M37" s="4" t="inlineStr">
        <is>
          <t>職番：</t>
        </is>
      </c>
      <c r="N37" s="4" t="inlineStr">
        <is>
          <t>00037746</t>
        </is>
      </c>
      <c r="O37" s="4" t="inlineStr">
        <is>
          <t>所属：</t>
        </is>
      </c>
      <c r="P37" s="4" t="inlineStr">
        <is>
          <t>NTZNT</t>
        </is>
      </c>
      <c r="Q37" s="4" t="inlineStr">
        <is>
          <t>CAT資：</t>
        </is>
      </c>
      <c r="R37" s="4" t="inlineStr">
        <is>
          <t>CAT3</t>
        </is>
      </c>
      <c r="S37" s="4" t="inlineStr">
        <is>
          <t>T/O：</t>
        </is>
      </c>
      <c r="T37" s="4" t="inlineStr">
        <is>
          <t>3T251002</t>
        </is>
      </c>
      <c r="U37" s="4" t="inlineStr">
        <is>
          <t>L/D：</t>
        </is>
      </c>
      <c r="V37" s="4" t="inlineStr">
        <is>
          <t>3L251003</t>
        </is>
      </c>
      <c r="W37" s="4" t="inlineStr">
        <is>
          <t>PE：</t>
        </is>
      </c>
      <c r="X37" s="5" t="inlineStr">
        <is>
          <t>PE260506</t>
        </is>
      </c>
      <c r="Y37" s="4" t="inlineStr">
        <is>
          <t>誕生月：</t>
        </is>
      </c>
      <c r="Z37" s="4" t="inlineStr">
        <is>
          <t>08</t>
        </is>
      </c>
      <c r="AA37" s="6" t="inlineStr">
        <is>
          <t>電話：</t>
        </is>
      </c>
      <c r="AB37" s="6" t="inlineStr">
        <is>
          <t>045-892-5010</t>
        </is>
      </c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>
        <is>
          <t>NTW001</t>
        </is>
      </c>
    </row>
    <row r="38">
      <c r="A38" s="1" t="inlineStr">
        <is>
          <t>37746-2</t>
        </is>
      </c>
      <c r="B38" s="1" t="inlineStr">
        <is>
          <t>HOSOKAWA SH</t>
        </is>
      </c>
      <c r="C38" s="1" t="inlineStr"/>
      <c r="D38" s="1" t="inlineStr">
        <is>
          <t>NTW001</t>
        </is>
      </c>
      <c r="E38" s="1" t="n"/>
      <c r="F38" s="7" t="inlineStr">
        <is>
          <t>01</t>
        </is>
      </c>
      <c r="G38" s="7" t="inlineStr">
        <is>
          <t>02</t>
        </is>
      </c>
      <c r="H38" s="7" t="inlineStr">
        <is>
          <t>03</t>
        </is>
      </c>
      <c r="I38" s="7" t="inlineStr">
        <is>
          <t>04</t>
        </is>
      </c>
      <c r="J38" s="12" t="inlineStr">
        <is>
          <t>05</t>
        </is>
      </c>
      <c r="K38" s="12" t="inlineStr">
        <is>
          <t>06</t>
        </is>
      </c>
      <c r="L38" s="7" t="inlineStr">
        <is>
          <t>07</t>
        </is>
      </c>
      <c r="M38" s="7" t="inlineStr">
        <is>
          <t>08</t>
        </is>
      </c>
      <c r="N38" s="7" t="inlineStr">
        <is>
          <t>09</t>
        </is>
      </c>
      <c r="O38" s="7" t="inlineStr">
        <is>
          <t>10</t>
        </is>
      </c>
      <c r="P38" s="7" t="inlineStr">
        <is>
          <t>11</t>
        </is>
      </c>
      <c r="Q38" s="7" t="inlineStr">
        <is>
          <t>12</t>
        </is>
      </c>
      <c r="R38" s="7" t="inlineStr">
        <is>
          <t>13</t>
        </is>
      </c>
      <c r="S38" s="7" t="inlineStr">
        <is>
          <t>14</t>
        </is>
      </c>
      <c r="T38" s="7" t="inlineStr">
        <is>
          <t>15</t>
        </is>
      </c>
      <c r="U38" s="7" t="inlineStr">
        <is>
          <t>16</t>
        </is>
      </c>
      <c r="V38" s="7" t="inlineStr">
        <is>
          <t>17</t>
        </is>
      </c>
      <c r="W38" s="7" t="inlineStr">
        <is>
          <t>18</t>
        </is>
      </c>
      <c r="X38" s="7" t="inlineStr">
        <is>
          <t>19</t>
        </is>
      </c>
      <c r="Y38" s="7" t="inlineStr">
        <is>
          <t>20</t>
        </is>
      </c>
      <c r="Z38" s="7" t="inlineStr">
        <is>
          <t>21</t>
        </is>
      </c>
      <c r="AA38" s="10" t="inlineStr">
        <is>
          <t>22</t>
        </is>
      </c>
      <c r="AB38" s="7" t="inlineStr">
        <is>
          <t>23</t>
        </is>
      </c>
      <c r="AC38" s="7" t="inlineStr">
        <is>
          <t>24</t>
        </is>
      </c>
      <c r="AD38" s="12" t="inlineStr">
        <is>
          <t>25</t>
        </is>
      </c>
      <c r="AE38" s="7" t="inlineStr">
        <is>
          <t>26</t>
        </is>
      </c>
      <c r="AF38" s="7" t="inlineStr">
        <is>
          <t>27</t>
        </is>
      </c>
      <c r="AG38" s="7" t="inlineStr">
        <is>
          <t>28</t>
        </is>
      </c>
      <c r="AH38" s="7" t="inlineStr">
        <is>
          <t>29</t>
        </is>
      </c>
      <c r="AI38" s="7" t="inlineStr">
        <is>
          <t>30</t>
        </is>
      </c>
      <c r="AJ38" s="7" t="inlineStr">
        <is>
          <t>31</t>
        </is>
      </c>
    </row>
    <row r="39">
      <c r="A39" s="1" t="inlineStr">
        <is>
          <t>37746-3</t>
        </is>
      </c>
      <c r="B39" s="1" t="inlineStr">
        <is>
          <t>HOSOKAWA SH</t>
        </is>
      </c>
      <c r="C39" s="1" t="inlineStr"/>
      <c r="D39" s="1" t="inlineStr">
        <is>
          <t>NTW001</t>
        </is>
      </c>
      <c r="E39" s="1" t="n"/>
      <c r="F39" s="9" t="inlineStr">
        <is>
          <t>*H</t>
        </is>
      </c>
      <c r="G39" s="9" t="inlineStr">
        <is>
          <t>735</t>
        </is>
      </c>
      <c r="H39" s="9" t="inlineStr">
        <is>
          <t>26</t>
        </is>
      </c>
      <c r="I39" s="9" t="inlineStr">
        <is>
          <t>H</t>
        </is>
      </c>
      <c r="J39" s="9" t="inlineStr">
        <is>
          <t>M21
TRN
#1
07:00-11:00</t>
        </is>
      </c>
      <c r="K39" s="9" t="inlineStr">
        <is>
          <t>M22
TRN
#1
13:00-17:00</t>
        </is>
      </c>
      <c r="L39" s="9" t="inlineStr">
        <is>
          <t>41</t>
        </is>
      </c>
      <c r="M39" s="9" t="inlineStr">
        <is>
          <t>---</t>
        </is>
      </c>
      <c r="N39" s="9" t="inlineStr">
        <is>
          <t>---</t>
        </is>
      </c>
      <c r="O39" s="9" t="inlineStr">
        <is>
          <t>---</t>
        </is>
      </c>
      <c r="P39" s="9" t="inlineStr">
        <is>
          <t>42</t>
        </is>
      </c>
      <c r="Q39" s="9" t="inlineStr">
        <is>
          <t>H/VAC</t>
        </is>
      </c>
      <c r="R39" s="9" t="inlineStr">
        <is>
          <t>HH</t>
        </is>
      </c>
      <c r="S39" s="9" t="inlineStr">
        <is>
          <t>HH</t>
        </is>
      </c>
      <c r="T39" s="9" t="inlineStr">
        <is>
          <t>37</t>
        </is>
      </c>
      <c r="U39" s="9" t="inlineStr">
        <is>
          <t>---</t>
        </is>
      </c>
      <c r="V39" s="9" t="inlineStr">
        <is>
          <t>36</t>
        </is>
      </c>
      <c r="W39" s="9" t="inlineStr">
        <is>
          <t>*H</t>
        </is>
      </c>
      <c r="X39" s="9" t="inlineStr">
        <is>
          <t>H/VAC</t>
        </is>
      </c>
      <c r="Y39" s="9" t="inlineStr">
        <is>
          <t>VAC</t>
        </is>
      </c>
      <c r="Z39" s="9" t="inlineStr">
        <is>
          <t>VAC</t>
        </is>
      </c>
      <c r="AA39" s="9" t="inlineStr">
        <is>
          <t>M12
ISR
#1
15:00-19:00</t>
        </is>
      </c>
      <c r="AB39" s="9" t="inlineStr">
        <is>
          <t>H</t>
        </is>
      </c>
      <c r="AC39" s="9" t="inlineStr">
        <is>
          <t>29</t>
        </is>
      </c>
      <c r="AD39" s="9" t="inlineStr">
        <is>
          <t>736
QPR_ TRN</t>
        </is>
      </c>
      <c r="AE39" s="9" t="inlineStr">
        <is>
          <t>H/VAC</t>
        </is>
      </c>
      <c r="AF39" s="9" t="inlineStr">
        <is>
          <t>H/VAC</t>
        </is>
      </c>
      <c r="AG39" s="9" t="inlineStr">
        <is>
          <t>CARF
ISR
#1
05:00-09:00</t>
        </is>
      </c>
      <c r="AH39" s="9" t="inlineStr">
        <is>
          <t>91
92</t>
        </is>
      </c>
      <c r="AI39" s="9" t="inlineStr">
        <is>
          <t>CAUG
ISR</t>
        </is>
      </c>
      <c r="AJ39" s="9" t="inlineStr">
        <is>
          <t>97
98</t>
        </is>
      </c>
    </row>
    <row r="40">
      <c r="A40" s="1" t="inlineStr">
        <is>
          <t>37746-4</t>
        </is>
      </c>
      <c r="B40" s="1" t="inlineStr">
        <is>
          <t>HOSOKAWA SH</t>
        </is>
      </c>
      <c r="C40" s="1" t="inlineStr"/>
      <c r="D40" s="1" t="inlineStr">
        <is>
          <t>NTW001</t>
        </is>
      </c>
      <c r="E40" s="1" t="n"/>
      <c r="F40" s="9" t="inlineStr"/>
      <c r="G40" s="9" t="inlineStr"/>
      <c r="H40" s="9" t="inlineStr"/>
      <c r="I40" s="9" t="inlineStr"/>
      <c r="J40" s="9">
        <f>HYPERLINK("#Schedule!F182", "I髙瀨 MA (67264)")</f>
        <v/>
      </c>
      <c r="K40" s="11">
        <f>HYPERLINK("#Schedule!F6", "I中村 YC (41665)")</f>
        <v/>
      </c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>
        <is>
          <t>I渡部 YU</t>
        </is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>
        <f>HYPERLINK("#Schedule!F366", "OJIMAHI (53822)")</f>
        <v/>
      </c>
    </row>
    <row r="41">
      <c r="A41" s="1" t="inlineStr">
        <is>
          <t>36749-1</t>
        </is>
      </c>
      <c r="B41" s="1" t="inlineStr">
        <is>
          <t>KATO TK</t>
        </is>
      </c>
      <c r="C41" s="1" t="inlineStr"/>
      <c r="D41" s="1" t="inlineStr">
        <is>
          <t>NTW001</t>
        </is>
      </c>
      <c r="E41" s="1" t="n"/>
      <c r="F41" s="4" t="inlineStr">
        <is>
          <t>加藤 TK</t>
        </is>
      </c>
      <c r="G41" s="4" t="inlineStr">
        <is>
          <t>TK</t>
        </is>
      </c>
      <c r="H41" s="4" t="inlineStr">
        <is>
          <t>機種：</t>
        </is>
      </c>
      <c r="I41" s="4" t="inlineStr">
        <is>
          <t>787</t>
        </is>
      </c>
      <c r="J41" s="4" t="inlineStr">
        <is>
          <t>ランク：</t>
        </is>
      </c>
      <c r="K41" s="4" t="inlineStr">
        <is>
          <t>CAP</t>
        </is>
      </c>
      <c r="L41" s="4" t="inlineStr">
        <is>
          <t>期：</t>
        </is>
      </c>
      <c r="M41" s="4" t="inlineStr">
        <is>
          <t>職番：</t>
        </is>
      </c>
      <c r="N41" s="4" t="inlineStr">
        <is>
          <t>00036749</t>
        </is>
      </c>
      <c r="O41" s="4" t="inlineStr">
        <is>
          <t>所属：</t>
        </is>
      </c>
      <c r="P41" s="4" t="inlineStr">
        <is>
          <t>NTZNT</t>
        </is>
      </c>
      <c r="Q41" s="4" t="inlineStr">
        <is>
          <t>CAT資：</t>
        </is>
      </c>
      <c r="R41" s="4" t="inlineStr">
        <is>
          <t>CAT3</t>
        </is>
      </c>
      <c r="S41" s="4" t="inlineStr">
        <is>
          <t>T/O：</t>
        </is>
      </c>
      <c r="T41" s="4" t="inlineStr">
        <is>
          <t>3T250926</t>
        </is>
      </c>
      <c r="U41" s="4" t="inlineStr">
        <is>
          <t>L/D：</t>
        </is>
      </c>
      <c r="V41" s="4" t="inlineStr">
        <is>
          <t>3L250926</t>
        </is>
      </c>
      <c r="W41" s="4" t="inlineStr">
        <is>
          <t>PE：</t>
        </is>
      </c>
      <c r="X41" s="5" t="inlineStr">
        <is>
          <t>PE251207</t>
        </is>
      </c>
      <c r="Y41" s="4" t="inlineStr">
        <is>
          <t>誕生月：</t>
        </is>
      </c>
      <c r="Z41" s="4" t="inlineStr">
        <is>
          <t>12</t>
        </is>
      </c>
      <c r="AA41" s="6" t="inlineStr">
        <is>
          <t>電話：</t>
        </is>
      </c>
      <c r="AB41" s="6" t="inlineStr">
        <is>
          <t>047-459-6751</t>
        </is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>
        <is>
          <t>NTW001</t>
        </is>
      </c>
    </row>
    <row r="42">
      <c r="A42" s="1" t="inlineStr">
        <is>
          <t>36749-2</t>
        </is>
      </c>
      <c r="B42" s="1" t="inlineStr">
        <is>
          <t>KATO TK</t>
        </is>
      </c>
      <c r="C42" s="1" t="inlineStr"/>
      <c r="D42" s="1" t="inlineStr">
        <is>
          <t>NTW001</t>
        </is>
      </c>
      <c r="E42" s="1" t="n"/>
      <c r="F42" s="7" t="inlineStr">
        <is>
          <t>01</t>
        </is>
      </c>
      <c r="G42" s="7" t="inlineStr">
        <is>
          <t>02</t>
        </is>
      </c>
      <c r="H42" s="7" t="inlineStr">
        <is>
          <t>03</t>
        </is>
      </c>
      <c r="I42" s="7" t="inlineStr">
        <is>
          <t>04</t>
        </is>
      </c>
      <c r="J42" s="7" t="inlineStr">
        <is>
          <t>05</t>
        </is>
      </c>
      <c r="K42" s="7" t="inlineStr">
        <is>
          <t>06</t>
        </is>
      </c>
      <c r="L42" s="7" t="inlineStr">
        <is>
          <t>07</t>
        </is>
      </c>
      <c r="M42" s="7" t="inlineStr">
        <is>
          <t>08</t>
        </is>
      </c>
      <c r="N42" s="10" t="inlineStr">
        <is>
          <t>09</t>
        </is>
      </c>
      <c r="O42" s="7" t="inlineStr">
        <is>
          <t>10</t>
        </is>
      </c>
      <c r="P42" s="8" t="inlineStr">
        <is>
          <t>11</t>
        </is>
      </c>
      <c r="Q42" s="8" t="inlineStr">
        <is>
          <t>12</t>
        </is>
      </c>
      <c r="R42" s="7" t="inlineStr">
        <is>
          <t>13</t>
        </is>
      </c>
      <c r="S42" s="7" t="inlineStr">
        <is>
          <t>14</t>
        </is>
      </c>
      <c r="T42" s="8" t="inlineStr">
        <is>
          <t>15</t>
        </is>
      </c>
      <c r="U42" s="8" t="inlineStr">
        <is>
          <t>16</t>
        </is>
      </c>
      <c r="V42" s="13" t="inlineStr">
        <is>
          <t>17</t>
        </is>
      </c>
      <c r="W42" s="7" t="inlineStr">
        <is>
          <t>18</t>
        </is>
      </c>
      <c r="X42" s="7" t="inlineStr">
        <is>
          <t>19</t>
        </is>
      </c>
      <c r="Y42" s="7" t="inlineStr">
        <is>
          <t>20</t>
        </is>
      </c>
      <c r="Z42" s="7" t="inlineStr">
        <is>
          <t>21</t>
        </is>
      </c>
      <c r="AA42" s="7" t="inlineStr">
        <is>
          <t>22</t>
        </is>
      </c>
      <c r="AB42" s="7" t="inlineStr">
        <is>
          <t>23</t>
        </is>
      </c>
      <c r="AC42" s="7" t="inlineStr">
        <is>
          <t>24</t>
        </is>
      </c>
      <c r="AD42" s="7" t="inlineStr">
        <is>
          <t>25</t>
        </is>
      </c>
      <c r="AE42" s="7" t="inlineStr">
        <is>
          <t>26</t>
        </is>
      </c>
      <c r="AF42" s="7" t="inlineStr">
        <is>
          <t>27</t>
        </is>
      </c>
      <c r="AG42" s="7" t="inlineStr">
        <is>
          <t>28</t>
        </is>
      </c>
      <c r="AH42" s="7" t="inlineStr">
        <is>
          <t>29</t>
        </is>
      </c>
      <c r="AI42" s="8" t="inlineStr">
        <is>
          <t>30</t>
        </is>
      </c>
      <c r="AJ42" s="8" t="inlineStr">
        <is>
          <t>31</t>
        </is>
      </c>
    </row>
    <row r="43">
      <c r="A43" s="1" t="inlineStr">
        <is>
          <t>36749-3</t>
        </is>
      </c>
      <c r="B43" s="1" t="inlineStr">
        <is>
          <t>KATO TK</t>
        </is>
      </c>
      <c r="C43" s="1" t="inlineStr"/>
      <c r="D43" s="1" t="inlineStr">
        <is>
          <t>NTW001</t>
        </is>
      </c>
      <c r="E43" s="1" t="n"/>
      <c r="F43" s="9" t="inlineStr">
        <is>
          <t>H</t>
        </is>
      </c>
      <c r="G43" s="9" t="inlineStr">
        <is>
          <t>SX</t>
        </is>
      </c>
      <c r="H43" s="9" t="inlineStr">
        <is>
          <t>PH3
ISR</t>
        </is>
      </c>
      <c r="I43" s="9" t="inlineStr">
        <is>
          <t>37</t>
        </is>
      </c>
      <c r="J43" s="9" t="inlineStr">
        <is>
          <t>---</t>
        </is>
      </c>
      <c r="K43" s="9" t="inlineStr">
        <is>
          <t>36</t>
        </is>
      </c>
      <c r="L43" s="9" t="inlineStr">
        <is>
          <t>HH</t>
        </is>
      </c>
      <c r="M43" s="9" t="inlineStr">
        <is>
          <t>HH</t>
        </is>
      </c>
      <c r="N43" s="9" t="inlineStr">
        <is>
          <t>M21
ISR
#1
07:00-11:00</t>
        </is>
      </c>
      <c r="O43" s="9" t="inlineStr">
        <is>
          <t>H</t>
        </is>
      </c>
      <c r="P43" s="9" t="inlineStr">
        <is>
          <t>505
VLDE ISR
506
VLDE ISR
517
VLDE ISR</t>
        </is>
      </c>
      <c r="Q43" s="9" t="inlineStr">
        <is>
          <t>516
VLDE ISR
527
VLDE ISR
528
VLDE ISR</t>
        </is>
      </c>
      <c r="R43" s="9" t="inlineStr">
        <is>
          <t>H</t>
        </is>
      </c>
      <c r="S43" s="9" t="inlineStr">
        <is>
          <t>H</t>
        </is>
      </c>
      <c r="T43" s="9" t="inlineStr">
        <is>
          <t>809
CMD ISR</t>
        </is>
      </c>
      <c r="U43" s="9" t="inlineStr">
        <is>
          <t>802
CMD ISR</t>
        </is>
      </c>
      <c r="V43" s="9" t="inlineStr">
        <is>
          <t>EDU
PH TRN</t>
        </is>
      </c>
      <c r="W43" s="9" t="inlineStr">
        <is>
          <t>H</t>
        </is>
      </c>
      <c r="X43" s="9" t="inlineStr">
        <is>
          <t>CMD
ISR</t>
        </is>
      </c>
      <c r="Y43" s="9" t="inlineStr">
        <is>
          <t>MTG1</t>
        </is>
      </c>
      <c r="Z43" s="9" t="inlineStr">
        <is>
          <t>MTG1</t>
        </is>
      </c>
      <c r="AA43" s="9" t="inlineStr">
        <is>
          <t>R_</t>
        </is>
      </c>
      <c r="AB43" s="9" t="inlineStr">
        <is>
          <t>87</t>
        </is>
      </c>
      <c r="AC43" s="9" t="inlineStr">
        <is>
          <t>88</t>
        </is>
      </c>
      <c r="AD43" s="9" t="inlineStr">
        <is>
          <t>R</t>
        </is>
      </c>
      <c r="AE43" s="9" t="inlineStr">
        <is>
          <t>H</t>
        </is>
      </c>
      <c r="AF43" s="9" t="inlineStr">
        <is>
          <t>H</t>
        </is>
      </c>
      <c r="AG43" s="9" t="inlineStr">
        <is>
          <t>H</t>
        </is>
      </c>
      <c r="AH43" s="9" t="inlineStr">
        <is>
          <t>GMT1</t>
        </is>
      </c>
      <c r="AI43" s="9" t="inlineStr">
        <is>
          <t>735
VLDE ISR</t>
        </is>
      </c>
      <c r="AJ43" s="9" t="inlineStr">
        <is>
          <t>26
VLDE ISR</t>
        </is>
      </c>
    </row>
    <row r="44">
      <c r="A44" s="1" t="inlineStr">
        <is>
          <t>36749-4</t>
        </is>
      </c>
      <c r="B44" s="1" t="inlineStr">
        <is>
          <t>KATO TK</t>
        </is>
      </c>
      <c r="C44" s="1" t="inlineStr"/>
      <c r="D44" s="1" t="inlineStr">
        <is>
          <t>NTW001</t>
        </is>
      </c>
      <c r="E44" s="1" t="n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>
        <f>HYPERLINK("#Schedule!F138", "I安藤 YU (37725)")</f>
        <v/>
      </c>
      <c r="O44" s="9" t="inlineStr"/>
      <c r="P44" s="9">
        <f>HYPERLINK("#Schedule!F412", "MATSUDAMA (51871)")</f>
        <v/>
      </c>
      <c r="Q44" s="9">
        <f>HYPERLINK("#Schedule!F412", "MATSUDAMA (51871)")</f>
        <v/>
      </c>
      <c r="R44" s="9" t="inlineStr"/>
      <c r="S44" s="9" t="inlineStr"/>
      <c r="T44" s="9">
        <f>HYPERLINK("#Schedule!F370", "YAGIHASHIMS (53785)")</f>
        <v/>
      </c>
      <c r="U44" s="9">
        <f>HYPERLINK("#Schedule!F370", "YAGIHASHIMS (53785)")</f>
        <v/>
      </c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>
        <is>
          <t>ITOHH</t>
        </is>
      </c>
      <c r="AJ44" s="9" t="inlineStr">
        <is>
          <t>ITOHH</t>
        </is>
      </c>
    </row>
    <row r="45">
      <c r="A45" s="1" t="inlineStr">
        <is>
          <t>36749-5</t>
        </is>
      </c>
      <c r="B45" s="1" t="inlineStr">
        <is>
          <t>KATO TK</t>
        </is>
      </c>
      <c r="C45" s="1" t="inlineStr"/>
      <c r="D45" s="1" t="inlineStr">
        <is>
          <t>NTW001</t>
        </is>
      </c>
      <c r="E45" s="1" t="n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>
        <f>HYPERLINK("#Schedule!F128", "T小島 MA (37757)")</f>
        <v/>
      </c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</row>
    <row r="46">
      <c r="A46" s="1" t="inlineStr">
        <is>
          <t>37244-1</t>
        </is>
      </c>
      <c r="B46" s="1" t="inlineStr">
        <is>
          <t>YAMAGUCHI MH</t>
        </is>
      </c>
      <c r="C46" s="1" t="inlineStr"/>
      <c r="D46" s="1" t="inlineStr">
        <is>
          <t>NTW001</t>
        </is>
      </c>
      <c r="E46" s="1" t="n"/>
      <c r="F46" s="4" t="inlineStr">
        <is>
          <t>山口 MH</t>
        </is>
      </c>
      <c r="G46" s="4" t="inlineStr">
        <is>
          <t>MH</t>
        </is>
      </c>
      <c r="H46" s="4" t="inlineStr">
        <is>
          <t>機種：</t>
        </is>
      </c>
      <c r="I46" s="4" t="inlineStr">
        <is>
          <t>787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00037244</t>
        </is>
      </c>
      <c r="O46" s="4" t="inlineStr">
        <is>
          <t>所属：</t>
        </is>
      </c>
      <c r="P46" s="4" t="inlineStr">
        <is>
          <t>NTZNT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3T251011</t>
        </is>
      </c>
      <c r="U46" s="4" t="inlineStr">
        <is>
          <t>L/D：</t>
        </is>
      </c>
      <c r="V46" s="4" t="inlineStr">
        <is>
          <t>3L251011</t>
        </is>
      </c>
      <c r="W46" s="4" t="inlineStr">
        <is>
          <t>PE：</t>
        </is>
      </c>
      <c r="X46" s="5" t="inlineStr">
        <is>
          <t>PE250911</t>
        </is>
      </c>
      <c r="Y46" s="4" t="inlineStr">
        <is>
          <t>誕生月：</t>
        </is>
      </c>
      <c r="Z46" s="4" t="inlineStr">
        <is>
          <t>10</t>
        </is>
      </c>
      <c r="AA46" s="6" t="inlineStr">
        <is>
          <t>電話：</t>
        </is>
      </c>
      <c r="AB46" s="6" t="inlineStr">
        <is>
          <t>03-3307-6283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NTW001</t>
        </is>
      </c>
    </row>
    <row r="47">
      <c r="A47" s="1" t="inlineStr">
        <is>
          <t>37244-2</t>
        </is>
      </c>
      <c r="B47" s="1" t="inlineStr">
        <is>
          <t>YAMAGUCHI MH</t>
        </is>
      </c>
      <c r="C47" s="1" t="inlineStr"/>
      <c r="D47" s="1" t="inlineStr">
        <is>
          <t>NTW001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13" t="inlineStr">
        <is>
          <t>10</t>
        </is>
      </c>
      <c r="P47" s="13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8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8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10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7" t="inlineStr">
        <is>
          <t>30</t>
        </is>
      </c>
      <c r="AJ47" s="7" t="inlineStr">
        <is>
          <t>31</t>
        </is>
      </c>
    </row>
    <row r="48">
      <c r="A48" s="1" t="inlineStr">
        <is>
          <t>37244-3</t>
        </is>
      </c>
      <c r="B48" s="1" t="inlineStr">
        <is>
          <t>YAMAGUCHI MH</t>
        </is>
      </c>
      <c r="C48" s="1" t="inlineStr"/>
      <c r="D48" s="1" t="inlineStr">
        <is>
          <t>NTW001</t>
        </is>
      </c>
      <c r="E48" s="1" t="n"/>
      <c r="F48" s="9" t="inlineStr">
        <is>
          <t>61</t>
        </is>
      </c>
      <c r="G48" s="9" t="inlineStr">
        <is>
          <t>*H</t>
        </is>
      </c>
      <c r="H48" s="9" t="inlineStr">
        <is>
          <t>*H</t>
        </is>
      </c>
      <c r="I48" s="9" t="inlineStr">
        <is>
          <t>H</t>
        </is>
      </c>
      <c r="J48" s="9" t="inlineStr">
        <is>
          <t>18</t>
        </is>
      </c>
      <c r="K48" s="9" t="inlineStr">
        <is>
          <t>---</t>
        </is>
      </c>
      <c r="L48" s="9" t="inlineStr">
        <is>
          <t>17</t>
        </is>
      </c>
      <c r="M48" s="9" t="inlineStr">
        <is>
          <t>H</t>
        </is>
      </c>
      <c r="N48" s="9" t="inlineStr">
        <is>
          <t>H</t>
        </is>
      </c>
      <c r="O48" s="9" t="inlineStr">
        <is>
          <t>EDU
LPS TRN
EDU
LPS TRN</t>
        </is>
      </c>
      <c r="P48" s="9" t="inlineStr">
        <is>
          <t>EDU
PH TRN</t>
        </is>
      </c>
      <c r="Q48" s="9" t="inlineStr">
        <is>
          <t>SX</t>
        </is>
      </c>
      <c r="R48" s="9" t="inlineStr">
        <is>
          <t>101
106
113</t>
        </is>
      </c>
      <c r="S48" s="9" t="inlineStr">
        <is>
          <t>104
111
114</t>
        </is>
      </c>
      <c r="T48" s="9" t="inlineStr">
        <is>
          <t>H</t>
        </is>
      </c>
      <c r="U48" s="9" t="inlineStr">
        <is>
          <t>SX</t>
        </is>
      </c>
      <c r="V48" s="9" t="inlineStr">
        <is>
          <t>221DH</t>
        </is>
      </c>
      <c r="W48" s="9" t="inlineStr">
        <is>
          <t>727
CFM ISR</t>
        </is>
      </c>
      <c r="X48" s="9" t="inlineStr">
        <is>
          <t>708
CFM ISR</t>
        </is>
      </c>
      <c r="Y48" s="9" t="inlineStr">
        <is>
          <t>H</t>
        </is>
      </c>
      <c r="Z48" s="9" t="inlineStr">
        <is>
          <t>H</t>
        </is>
      </c>
      <c r="AA48" s="9" t="inlineStr">
        <is>
          <t>97
CFM ISR
98
CFM ISR</t>
        </is>
      </c>
      <c r="AB48" s="9" t="inlineStr">
        <is>
          <t>R</t>
        </is>
      </c>
      <c r="AC48" s="9" t="inlineStr">
        <is>
          <t>R</t>
        </is>
      </c>
      <c r="AD48" s="9" t="inlineStr">
        <is>
          <t>M21
ISR
#2
05:00-09:00</t>
        </is>
      </c>
      <c r="AE48" s="9" t="inlineStr">
        <is>
          <t>R</t>
        </is>
      </c>
      <c r="AF48" s="9" t="inlineStr">
        <is>
          <t>H</t>
        </is>
      </c>
      <c r="AG48" s="9" t="inlineStr">
        <is>
          <t>H</t>
        </is>
      </c>
      <c r="AH48" s="9" t="inlineStr">
        <is>
          <t>GMT1</t>
        </is>
      </c>
      <c r="AI48" s="9" t="inlineStr">
        <is>
          <t>S125</t>
        </is>
      </c>
      <c r="AJ48" s="9" t="inlineStr">
        <is>
          <t>R</t>
        </is>
      </c>
    </row>
    <row r="49">
      <c r="A49" s="1" t="inlineStr">
        <is>
          <t>39358-1</t>
        </is>
      </c>
      <c r="B49" s="1" t="inlineStr">
        <is>
          <t xml:space="preserve">ODA 田 </t>
        </is>
      </c>
      <c r="C49" s="1" t="inlineStr"/>
      <c r="D49" s="1" t="inlineStr">
        <is>
          <t>NTW001</t>
        </is>
      </c>
      <c r="E49" s="1" t="n"/>
      <c r="F49" s="4" t="inlineStr">
        <is>
          <t xml:space="preserve">織田 </t>
        </is>
      </c>
      <c r="G49" s="4" t="inlineStr">
        <is>
          <t>NA</t>
        </is>
      </c>
      <c r="H49" s="4" t="inlineStr">
        <is>
          <t>機種：</t>
        </is>
      </c>
      <c r="I49" s="4" t="inlineStr">
        <is>
          <t>787</t>
        </is>
      </c>
      <c r="J49" s="4" t="inlineStr">
        <is>
          <t>ランク：</t>
        </is>
      </c>
      <c r="K49" s="4" t="inlineStr">
        <is>
          <t>CAP</t>
        </is>
      </c>
      <c r="L49" s="4" t="inlineStr">
        <is>
          <t>期：</t>
        </is>
      </c>
      <c r="M49" s="4" t="inlineStr">
        <is>
          <t>職番：</t>
        </is>
      </c>
      <c r="N49" s="4" t="inlineStr">
        <is>
          <t>00039358</t>
        </is>
      </c>
      <c r="O49" s="4" t="inlineStr">
        <is>
          <t>所属：</t>
        </is>
      </c>
      <c r="P49" s="4" t="inlineStr">
        <is>
          <t>NTZNT</t>
        </is>
      </c>
      <c r="Q49" s="4" t="inlineStr">
        <is>
          <t>CAT資：</t>
        </is>
      </c>
      <c r="R49" s="4" t="inlineStr">
        <is>
          <t>CAT3</t>
        </is>
      </c>
      <c r="S49" s="4" t="inlineStr">
        <is>
          <t>T/O：</t>
        </is>
      </c>
      <c r="T49" s="4" t="inlineStr">
        <is>
          <t>3T251004</t>
        </is>
      </c>
      <c r="U49" s="4" t="inlineStr">
        <is>
          <t>L/D：</t>
        </is>
      </c>
      <c r="V49" s="4" t="inlineStr">
        <is>
          <t>3L251004</t>
        </is>
      </c>
      <c r="W49" s="4" t="inlineStr">
        <is>
          <t>PE：</t>
        </is>
      </c>
      <c r="X49" s="5" t="inlineStr">
        <is>
          <t>PE260720</t>
        </is>
      </c>
      <c r="Y49" s="4" t="inlineStr">
        <is>
          <t>誕生月：</t>
        </is>
      </c>
      <c r="Z49" s="4" t="inlineStr">
        <is>
          <t>02</t>
        </is>
      </c>
      <c r="AA49" s="6" t="inlineStr">
        <is>
          <t>電話：</t>
        </is>
      </c>
      <c r="AB49" s="6" t="inlineStr">
        <is>
          <t>080-3550-1333</t>
        </is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>
        <is>
          <t>NTW001</t>
        </is>
      </c>
    </row>
    <row r="50">
      <c r="A50" s="1" t="inlineStr">
        <is>
          <t>39358-2</t>
        </is>
      </c>
      <c r="B50" s="1" t="inlineStr">
        <is>
          <t xml:space="preserve">ODA 田 </t>
        </is>
      </c>
      <c r="C50" s="1" t="inlineStr"/>
      <c r="D50" s="1" t="inlineStr">
        <is>
          <t>NTW001</t>
        </is>
      </c>
      <c r="E50" s="1" t="n"/>
      <c r="F50" s="7" t="inlineStr">
        <is>
          <t>01</t>
        </is>
      </c>
      <c r="G50" s="7" t="inlineStr">
        <is>
          <t>02</t>
        </is>
      </c>
      <c r="H50" s="7" t="inlineStr">
        <is>
          <t>03</t>
        </is>
      </c>
      <c r="I50" s="7" t="inlineStr">
        <is>
          <t>04</t>
        </is>
      </c>
      <c r="J50" s="7" t="inlineStr">
        <is>
          <t>05</t>
        </is>
      </c>
      <c r="K50" s="7" t="inlineStr">
        <is>
          <t>06</t>
        </is>
      </c>
      <c r="L50" s="7" t="inlineStr">
        <is>
          <t>07</t>
        </is>
      </c>
      <c r="M50" s="10" t="inlineStr">
        <is>
          <t>08</t>
        </is>
      </c>
      <c r="N50" s="7" t="inlineStr">
        <is>
          <t>09</t>
        </is>
      </c>
      <c r="O50" s="7" t="inlineStr">
        <is>
          <t>10</t>
        </is>
      </c>
      <c r="P50" s="13" t="inlineStr">
        <is>
          <t>11</t>
        </is>
      </c>
      <c r="Q50" s="7" t="inlineStr">
        <is>
          <t>12</t>
        </is>
      </c>
      <c r="R50" s="7" t="inlineStr">
        <is>
          <t>13</t>
        </is>
      </c>
      <c r="S50" s="8" t="inlineStr">
        <is>
          <t>14</t>
        </is>
      </c>
      <c r="T50" s="8" t="inlineStr">
        <is>
          <t>15</t>
        </is>
      </c>
      <c r="U50" s="7" t="inlineStr">
        <is>
          <t>16</t>
        </is>
      </c>
      <c r="V50" s="8" t="inlineStr">
        <is>
          <t>17</t>
        </is>
      </c>
      <c r="W50" s="7" t="inlineStr">
        <is>
          <t>18</t>
        </is>
      </c>
      <c r="X50" s="7" t="inlineStr">
        <is>
          <t>19</t>
        </is>
      </c>
      <c r="Y50" s="7" t="inlineStr">
        <is>
          <t>20</t>
        </is>
      </c>
      <c r="Z50" s="8" t="inlineStr">
        <is>
          <t>21</t>
        </is>
      </c>
      <c r="AA50" s="8" t="inlineStr">
        <is>
          <t>22</t>
        </is>
      </c>
      <c r="AB50" s="7" t="inlineStr">
        <is>
          <t>23</t>
        </is>
      </c>
      <c r="AC50" s="7" t="inlineStr">
        <is>
          <t>24</t>
        </is>
      </c>
      <c r="AD50" s="7" t="inlineStr">
        <is>
          <t>25</t>
        </is>
      </c>
      <c r="AE50" s="7" t="inlineStr">
        <is>
          <t>26</t>
        </is>
      </c>
      <c r="AF50" s="7" t="inlineStr">
        <is>
          <t>27</t>
        </is>
      </c>
      <c r="AG50" s="7" t="inlineStr">
        <is>
          <t>28</t>
        </is>
      </c>
      <c r="AH50" s="7" t="inlineStr">
        <is>
          <t>29</t>
        </is>
      </c>
      <c r="AI50" s="7" t="inlineStr">
        <is>
          <t>30</t>
        </is>
      </c>
      <c r="AJ50" s="7" t="inlineStr">
        <is>
          <t>31</t>
        </is>
      </c>
    </row>
    <row r="51">
      <c r="A51" s="1" t="inlineStr">
        <is>
          <t>39358-3</t>
        </is>
      </c>
      <c r="B51" s="1" t="inlineStr">
        <is>
          <t xml:space="preserve">ODA 田 </t>
        </is>
      </c>
      <c r="C51" s="1" t="inlineStr"/>
      <c r="D51" s="1" t="inlineStr">
        <is>
          <t>NTW001</t>
        </is>
      </c>
      <c r="E51" s="1" t="n"/>
      <c r="F51" s="9" t="inlineStr">
        <is>
          <t>---</t>
        </is>
      </c>
      <c r="G51" s="9" t="inlineStr">
        <is>
          <t>73</t>
        </is>
      </c>
      <c r="H51" s="9" t="inlineStr">
        <is>
          <t>*H</t>
        </is>
      </c>
      <c r="I51" s="9" t="inlineStr">
        <is>
          <t>JPSP</t>
        </is>
      </c>
      <c r="J51" s="9" t="inlineStr">
        <is>
          <t>H</t>
        </is>
      </c>
      <c r="K51" s="9" t="inlineStr">
        <is>
          <t>H</t>
        </is>
      </c>
      <c r="L51" s="9" t="inlineStr">
        <is>
          <t>91
92</t>
        </is>
      </c>
      <c r="M51" s="9" t="inlineStr">
        <is>
          <t>M12
ISR
#2
19:00-23:00</t>
        </is>
      </c>
      <c r="N51" s="9" t="inlineStr">
        <is>
          <t>JPSP</t>
        </is>
      </c>
      <c r="O51" s="9" t="inlineStr">
        <is>
          <t>JPSP</t>
        </is>
      </c>
      <c r="P51" s="9" t="inlineStr">
        <is>
          <t>EDU
PH TRN</t>
        </is>
      </c>
      <c r="Q51" s="9" t="inlineStr">
        <is>
          <t>H</t>
        </is>
      </c>
      <c r="R51" s="9" t="inlineStr">
        <is>
          <t>HH</t>
        </is>
      </c>
      <c r="S51" s="9" t="inlineStr">
        <is>
          <t>505
CMD ISR
506
CMD ISR
321DH</t>
        </is>
      </c>
      <c r="T51" s="9" t="inlineStr">
        <is>
          <t>304
CMD ISR
315
CMD ISR
316
CMD ISR</t>
        </is>
      </c>
      <c r="U51" s="9" t="inlineStr">
        <is>
          <t>H</t>
        </is>
      </c>
      <c r="V51" s="9" t="inlineStr">
        <is>
          <t>97
CMD ISR
98
CMD ISR</t>
        </is>
      </c>
      <c r="W51" s="9" t="inlineStr">
        <is>
          <t>H</t>
        </is>
      </c>
      <c r="X51" s="9" t="inlineStr">
        <is>
          <t>HH</t>
        </is>
      </c>
      <c r="Y51" s="9" t="inlineStr">
        <is>
          <t>MIDNIT</t>
        </is>
      </c>
      <c r="Z51" s="9" t="inlineStr">
        <is>
          <t>79
CMD ISR</t>
        </is>
      </c>
      <c r="AA51" s="9" t="inlineStr">
        <is>
          <t>750
CMD ISR</t>
        </is>
      </c>
      <c r="AB51" s="9" t="inlineStr">
        <is>
          <t>*H</t>
        </is>
      </c>
      <c r="AC51" s="9" t="inlineStr">
        <is>
          <t>H</t>
        </is>
      </c>
      <c r="AD51" s="9" t="inlineStr">
        <is>
          <t>JPSP</t>
        </is>
      </c>
      <c r="AE51" s="9" t="inlineStr">
        <is>
          <t>R</t>
        </is>
      </c>
      <c r="AF51" s="9" t="inlineStr">
        <is>
          <t>R</t>
        </is>
      </c>
      <c r="AG51" s="9" t="inlineStr">
        <is>
          <t>NTW1</t>
        </is>
      </c>
      <c r="AH51" s="9" t="inlineStr">
        <is>
          <t>GMT1</t>
        </is>
      </c>
      <c r="AI51" s="9" t="inlineStr">
        <is>
          <t>PH3
ISR</t>
        </is>
      </c>
      <c r="AJ51" s="9" t="inlineStr">
        <is>
          <t>R</t>
        </is>
      </c>
    </row>
    <row r="52">
      <c r="A52" s="1" t="inlineStr">
        <is>
          <t>39358-4</t>
        </is>
      </c>
      <c r="B52" s="1" t="inlineStr">
        <is>
          <t xml:space="preserve">ODA 田 </t>
        </is>
      </c>
      <c r="C52" s="1" t="inlineStr"/>
      <c r="D52" s="1" t="inlineStr">
        <is>
          <t>NTW001</t>
        </is>
      </c>
      <c r="E52" s="1" t="n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>
        <is>
          <t>TSUNODAAK</t>
        </is>
      </c>
      <c r="T52" s="9" t="inlineStr">
        <is>
          <t>TSUNODAAK</t>
        </is>
      </c>
      <c r="U52" s="9" t="inlineStr"/>
      <c r="V52" s="9" t="inlineStr">
        <is>
          <t>IWASAKIKA</t>
        </is>
      </c>
      <c r="W52" s="9" t="inlineStr"/>
      <c r="X52" s="9" t="inlineStr"/>
      <c r="Y52" s="9" t="inlineStr"/>
      <c r="Z52" s="9" t="inlineStr">
        <is>
          <t>TAKAGIHI</t>
        </is>
      </c>
      <c r="AA52" s="9" t="inlineStr">
        <is>
          <t>TAKAGIHI</t>
        </is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</row>
    <row r="53">
      <c r="A53" s="1" t="inlineStr">
        <is>
          <t>41373-1</t>
        </is>
      </c>
      <c r="B53" s="1" t="inlineStr">
        <is>
          <t>NIINO TO</t>
        </is>
      </c>
      <c r="C53" s="1" t="inlineStr"/>
      <c r="D53" s="1" t="inlineStr">
        <is>
          <t>NTW001</t>
        </is>
      </c>
      <c r="E53" s="1" t="n"/>
      <c r="F53" s="4" t="inlineStr">
        <is>
          <t>新野 TO</t>
        </is>
      </c>
      <c r="G53" s="4" t="inlineStr">
        <is>
          <t>TO</t>
        </is>
      </c>
      <c r="H53" s="4" t="inlineStr">
        <is>
          <t>機種：</t>
        </is>
      </c>
      <c r="I53" s="4" t="inlineStr">
        <is>
          <t>787</t>
        </is>
      </c>
      <c r="J53" s="4" t="inlineStr">
        <is>
          <t>ランク：</t>
        </is>
      </c>
      <c r="K53" s="4" t="inlineStr">
        <is>
          <t>CAP</t>
        </is>
      </c>
      <c r="L53" s="4" t="inlineStr">
        <is>
          <t>期：</t>
        </is>
      </c>
      <c r="M53" s="4" t="inlineStr">
        <is>
          <t>職番：</t>
        </is>
      </c>
      <c r="N53" s="4" t="inlineStr">
        <is>
          <t>00041373</t>
        </is>
      </c>
      <c r="O53" s="4" t="inlineStr">
        <is>
          <t>所属：</t>
        </is>
      </c>
      <c r="P53" s="4" t="inlineStr">
        <is>
          <t>NTZNT</t>
        </is>
      </c>
      <c r="Q53" s="4" t="inlineStr">
        <is>
          <t>CAT資：</t>
        </is>
      </c>
      <c r="R53" s="4" t="inlineStr">
        <is>
          <t>CAT3</t>
        </is>
      </c>
      <c r="S53" s="4" t="inlineStr">
        <is>
          <t>T/O：</t>
        </is>
      </c>
      <c r="T53" s="4" t="inlineStr">
        <is>
          <t>3T250902</t>
        </is>
      </c>
      <c r="U53" s="4" t="inlineStr">
        <is>
          <t>L/D：</t>
        </is>
      </c>
      <c r="V53" s="4" t="inlineStr">
        <is>
          <t>3L250902</t>
        </is>
      </c>
      <c r="W53" s="4" t="inlineStr">
        <is>
          <t>PE：</t>
        </is>
      </c>
      <c r="X53" s="5" t="inlineStr">
        <is>
          <t>PE250818</t>
        </is>
      </c>
      <c r="Y53" s="4" t="inlineStr">
        <is>
          <t>誕生月：</t>
        </is>
      </c>
      <c r="Z53" s="4" t="inlineStr">
        <is>
          <t>12</t>
        </is>
      </c>
      <c r="AA53" s="6" t="inlineStr">
        <is>
          <t>電話：</t>
        </is>
      </c>
      <c r="AB53" s="6" t="inlineStr">
        <is>
          <t>090-4532-3043</t>
        </is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>
        <is>
          <t>NTW001</t>
        </is>
      </c>
    </row>
    <row r="54">
      <c r="A54" s="1" t="inlineStr">
        <is>
          <t>41373-2</t>
        </is>
      </c>
      <c r="B54" s="1" t="inlineStr">
        <is>
          <t>NIINO TO</t>
        </is>
      </c>
      <c r="C54" s="1" t="inlineStr"/>
      <c r="D54" s="1" t="inlineStr">
        <is>
          <t>NTW001</t>
        </is>
      </c>
      <c r="E54" s="1" t="n"/>
      <c r="F54" s="7" t="inlineStr">
        <is>
          <t>01</t>
        </is>
      </c>
      <c r="G54" s="7" t="inlineStr">
        <is>
          <t>02</t>
        </is>
      </c>
      <c r="H54" s="7" t="inlineStr">
        <is>
          <t>03</t>
        </is>
      </c>
      <c r="I54" s="7" t="inlineStr">
        <is>
          <t>04</t>
        </is>
      </c>
      <c r="J54" s="7" t="inlineStr">
        <is>
          <t>05</t>
        </is>
      </c>
      <c r="K54" s="10" t="inlineStr">
        <is>
          <t>06</t>
        </is>
      </c>
      <c r="L54" s="7" t="inlineStr">
        <is>
          <t>07</t>
        </is>
      </c>
      <c r="M54" s="7" t="inlineStr">
        <is>
          <t>08</t>
        </is>
      </c>
      <c r="N54" s="7" t="inlineStr">
        <is>
          <t>09</t>
        </is>
      </c>
      <c r="O54" s="7" t="inlineStr">
        <is>
          <t>10</t>
        </is>
      </c>
      <c r="P54" s="7" t="inlineStr">
        <is>
          <t>11</t>
        </is>
      </c>
      <c r="Q54" s="7" t="inlineStr">
        <is>
          <t>12</t>
        </is>
      </c>
      <c r="R54" s="7" t="inlineStr">
        <is>
          <t>13</t>
        </is>
      </c>
      <c r="S54" s="8" t="inlineStr">
        <is>
          <t>14</t>
        </is>
      </c>
      <c r="T54" s="8" t="inlineStr">
        <is>
          <t>15</t>
        </is>
      </c>
      <c r="U54" s="7" t="inlineStr">
        <is>
          <t>16</t>
        </is>
      </c>
      <c r="V54" s="8" t="inlineStr">
        <is>
          <t>17</t>
        </is>
      </c>
      <c r="W54" s="7" t="inlineStr">
        <is>
          <t>18</t>
        </is>
      </c>
      <c r="X54" s="7" t="inlineStr">
        <is>
          <t>19</t>
        </is>
      </c>
      <c r="Y54" s="8" t="inlineStr">
        <is>
          <t>20</t>
        </is>
      </c>
      <c r="Z54" s="7" t="inlineStr">
        <is>
          <t>21</t>
        </is>
      </c>
      <c r="AA54" s="7" t="inlineStr">
        <is>
          <t>22</t>
        </is>
      </c>
      <c r="AB54" s="7" t="inlineStr">
        <is>
          <t>23</t>
        </is>
      </c>
      <c r="AC54" s="7" t="inlineStr">
        <is>
          <t>24</t>
        </is>
      </c>
      <c r="AD54" s="7" t="inlineStr">
        <is>
          <t>25</t>
        </is>
      </c>
      <c r="AE54" s="7" t="inlineStr">
        <is>
          <t>26</t>
        </is>
      </c>
      <c r="AF54" s="12" t="inlineStr">
        <is>
          <t>27</t>
        </is>
      </c>
      <c r="AG54" s="7" t="inlineStr">
        <is>
          <t>28</t>
        </is>
      </c>
      <c r="AH54" s="7" t="inlineStr">
        <is>
          <t>29</t>
        </is>
      </c>
      <c r="AI54" s="7" t="inlineStr">
        <is>
          <t>30</t>
        </is>
      </c>
      <c r="AJ54" s="7" t="inlineStr">
        <is>
          <t>31</t>
        </is>
      </c>
    </row>
    <row r="55">
      <c r="A55" s="1" t="inlineStr">
        <is>
          <t>41373-3</t>
        </is>
      </c>
      <c r="B55" s="1" t="inlineStr">
        <is>
          <t>NIINO TO</t>
        </is>
      </c>
      <c r="C55" s="1" t="inlineStr"/>
      <c r="D55" s="1" t="inlineStr">
        <is>
          <t>NTW001</t>
        </is>
      </c>
      <c r="E55" s="1" t="n"/>
      <c r="F55" s="9" t="inlineStr">
        <is>
          <t>APO</t>
        </is>
      </c>
      <c r="G55" s="9" t="inlineStr">
        <is>
          <t>OYZ1</t>
        </is>
      </c>
      <c r="H55" s="9" t="inlineStr">
        <is>
          <t>CMD
ISR
#2
19:00-21:00</t>
        </is>
      </c>
      <c r="I55" s="9" t="inlineStr">
        <is>
          <t>H</t>
        </is>
      </c>
      <c r="J55" s="9" t="inlineStr">
        <is>
          <t>H</t>
        </is>
      </c>
      <c r="K55" s="9" t="inlineStr">
        <is>
          <t>M22
ISR
#1
17:00-21:00</t>
        </is>
      </c>
      <c r="L55" s="9" t="inlineStr">
        <is>
          <t>HH</t>
        </is>
      </c>
      <c r="M55" s="9" t="inlineStr">
        <is>
          <t>H</t>
        </is>
      </c>
      <c r="N55" s="9" t="inlineStr">
        <is>
          <t>PE
PE TRN
PE
PE TRN</t>
        </is>
      </c>
      <c r="O55" s="9" t="inlineStr">
        <is>
          <t>JPSP</t>
        </is>
      </c>
      <c r="P55" s="9" t="inlineStr">
        <is>
          <t>OTHR
ISR
#2
19:00-23:00</t>
        </is>
      </c>
      <c r="Q55" s="9" t="inlineStr">
        <is>
          <t>H</t>
        </is>
      </c>
      <c r="R55" s="9" t="inlineStr">
        <is>
          <t>HH</t>
        </is>
      </c>
      <c r="S55" s="9" t="inlineStr">
        <is>
          <t>81
CAUG ISR
82
CAUG ISR</t>
        </is>
      </c>
      <c r="T55" s="9" t="inlineStr">
        <is>
          <t>93
CAUG ISR
94
CAUG ISR</t>
        </is>
      </c>
      <c r="U55" s="9" t="inlineStr">
        <is>
          <t>H/VAC</t>
        </is>
      </c>
      <c r="V55" s="9" t="inlineStr">
        <is>
          <t>133
CMD ISR
138
CMD ISR</t>
        </is>
      </c>
      <c r="W55" s="9" t="inlineStr">
        <is>
          <t>H</t>
        </is>
      </c>
      <c r="X55" s="9" t="inlineStr">
        <is>
          <t>VAC</t>
        </is>
      </c>
      <c r="Y55" s="9" t="inlineStr">
        <is>
          <t>23
CMD ISR
24
CMD ISR</t>
        </is>
      </c>
      <c r="Z55" s="9" t="inlineStr">
        <is>
          <t>JPSP</t>
        </is>
      </c>
      <c r="AA55" s="9" t="inlineStr">
        <is>
          <t>VAC</t>
        </is>
      </c>
      <c r="AB55" s="9" t="inlineStr">
        <is>
          <t>H</t>
        </is>
      </c>
      <c r="AC55" s="9" t="inlineStr">
        <is>
          <t>99</t>
        </is>
      </c>
      <c r="AD55" s="9" t="inlineStr">
        <is>
          <t>96</t>
        </is>
      </c>
      <c r="AE55" s="9" t="inlineStr">
        <is>
          <t>H</t>
        </is>
      </c>
      <c r="AF55" s="9" t="inlineStr">
        <is>
          <t>29
QPR_ TRN</t>
        </is>
      </c>
      <c r="AG55" s="9" t="inlineStr">
        <is>
          <t>736</t>
        </is>
      </c>
      <c r="AH55" s="9" t="inlineStr">
        <is>
          <t>GMT1</t>
        </is>
      </c>
      <c r="AI55" s="9" t="inlineStr">
        <is>
          <t>221DH</t>
        </is>
      </c>
      <c r="AJ55" s="9" t="inlineStr">
        <is>
          <t>727</t>
        </is>
      </c>
    </row>
    <row r="56">
      <c r="A56" s="1" t="inlineStr">
        <is>
          <t>41373-4</t>
        </is>
      </c>
      <c r="B56" s="1" t="inlineStr">
        <is>
          <t>NIINO TO</t>
        </is>
      </c>
      <c r="C56" s="1" t="inlineStr"/>
      <c r="D56" s="1" t="inlineStr">
        <is>
          <t>NTW001</t>
        </is>
      </c>
      <c r="E56" s="1" t="n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>
        <f>HYPERLINK("#Schedule!F299", "OZAWAKO (41266)")</f>
        <v/>
      </c>
      <c r="T56" s="9" t="inlineStr">
        <is>
          <t>TASAKASH</t>
        </is>
      </c>
      <c r="U56" s="9" t="inlineStr"/>
      <c r="V56" s="9">
        <f>HYPERLINK("#Schedule!F404", "NISHIHARATA (41200)")</f>
        <v/>
      </c>
      <c r="W56" s="9" t="inlineStr"/>
      <c r="X56" s="9" t="inlineStr"/>
      <c r="Y56" s="9" t="inlineStr">
        <is>
          <t>ISHIGUROKA</t>
        </is>
      </c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</row>
    <row r="57">
      <c r="A57" s="1" t="inlineStr">
        <is>
          <t>41373-5</t>
        </is>
      </c>
      <c r="B57" s="1" t="inlineStr">
        <is>
          <t>NIINO TO</t>
        </is>
      </c>
      <c r="C57" s="1" t="inlineStr"/>
      <c r="D57" s="1" t="inlineStr">
        <is>
          <t>NTW001</t>
        </is>
      </c>
      <c r="E57" s="1" t="n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>
        <f>HYPERLINK("#Schedule!F374", "NAKAITO (53882)")</f>
        <v/>
      </c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</row>
    <row r="58">
      <c r="A58" s="1" t="inlineStr">
        <is>
          <t>41467-1</t>
        </is>
      </c>
      <c r="B58" s="1" t="inlineStr">
        <is>
          <t>ICHIKAWA TO</t>
        </is>
      </c>
      <c r="C58" s="1" t="inlineStr"/>
      <c r="D58" s="1" t="inlineStr">
        <is>
          <t>NTW001</t>
        </is>
      </c>
      <c r="E58" s="1" t="n"/>
      <c r="F58" s="4" t="inlineStr">
        <is>
          <t>市川 TO</t>
        </is>
      </c>
      <c r="G58" s="4" t="inlineStr">
        <is>
          <t>TO</t>
        </is>
      </c>
      <c r="H58" s="4" t="inlineStr">
        <is>
          <t>機種：</t>
        </is>
      </c>
      <c r="I58" s="4" t="inlineStr">
        <is>
          <t>787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00041467</t>
        </is>
      </c>
      <c r="O58" s="4" t="inlineStr">
        <is>
          <t>所属：</t>
        </is>
      </c>
      <c r="P58" s="4" t="inlineStr">
        <is>
          <t>NTZNT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3T250729</t>
        </is>
      </c>
      <c r="U58" s="4" t="inlineStr">
        <is>
          <t>L/D：</t>
        </is>
      </c>
      <c r="V58" s="4" t="inlineStr">
        <is>
          <t>3L250901</t>
        </is>
      </c>
      <c r="W58" s="4" t="inlineStr">
        <is>
          <t>PE：</t>
        </is>
      </c>
      <c r="X58" s="5" t="inlineStr">
        <is>
          <t>PE260426</t>
        </is>
      </c>
      <c r="Y58" s="4" t="inlineStr">
        <is>
          <t>誕生月：</t>
        </is>
      </c>
      <c r="Z58" s="4" t="inlineStr">
        <is>
          <t>12</t>
        </is>
      </c>
      <c r="AA58" s="6" t="inlineStr">
        <is>
          <t>電話：</t>
        </is>
      </c>
      <c r="AB58" s="6" t="inlineStr">
        <is>
          <t>047-720-0280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NTW001</t>
        </is>
      </c>
    </row>
    <row r="59">
      <c r="A59" s="1" t="inlineStr">
        <is>
          <t>41467-2</t>
        </is>
      </c>
      <c r="B59" s="1" t="inlineStr">
        <is>
          <t>ICHIKAWA TO</t>
        </is>
      </c>
      <c r="C59" s="1" t="inlineStr"/>
      <c r="D59" s="1" t="inlineStr">
        <is>
          <t>NTW001</t>
        </is>
      </c>
      <c r="E59" s="1" t="n"/>
      <c r="F59" s="7" t="inlineStr">
        <is>
          <t>01</t>
        </is>
      </c>
      <c r="G59" s="8" t="inlineStr">
        <is>
          <t>02</t>
        </is>
      </c>
      <c r="H59" s="8" t="inlineStr">
        <is>
          <t>03</t>
        </is>
      </c>
      <c r="I59" s="8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8" t="inlineStr">
        <is>
          <t>10</t>
        </is>
      </c>
      <c r="P59" s="7" t="inlineStr">
        <is>
          <t>11</t>
        </is>
      </c>
      <c r="Q59" s="8" t="inlineStr">
        <is>
          <t>12</t>
        </is>
      </c>
      <c r="R59" s="7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8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7" t="inlineStr">
        <is>
          <t>20</t>
        </is>
      </c>
      <c r="Z59" s="7" t="inlineStr">
        <is>
          <t>21</t>
        </is>
      </c>
      <c r="AA59" s="7" t="inlineStr">
        <is>
          <t>22</t>
        </is>
      </c>
      <c r="AB59" s="7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8" t="inlineStr">
        <is>
          <t>30</t>
        </is>
      </c>
      <c r="AJ59" s="7" t="inlineStr">
        <is>
          <t>31</t>
        </is>
      </c>
    </row>
    <row r="60">
      <c r="A60" s="1" t="inlineStr">
        <is>
          <t>41467-3</t>
        </is>
      </c>
      <c r="B60" s="1" t="inlineStr">
        <is>
          <t>ICHIKAWA TO</t>
        </is>
      </c>
      <c r="C60" s="1" t="inlineStr"/>
      <c r="D60" s="1" t="inlineStr">
        <is>
          <t>NTW001</t>
        </is>
      </c>
      <c r="E60" s="1" t="n"/>
      <c r="F60" s="9" t="inlineStr">
        <is>
          <t>H</t>
        </is>
      </c>
      <c r="G60" s="9" t="inlineStr">
        <is>
          <t>503
VLDP ISR
504
VLDP ISR
517
VLDP ISR</t>
        </is>
      </c>
      <c r="H60" s="9" t="inlineStr">
        <is>
          <t>516
VLDP ISR
527
VLDP ISR</t>
        </is>
      </c>
      <c r="I60" s="9" t="inlineStr">
        <is>
          <t>528
VLDP ISR</t>
        </is>
      </c>
      <c r="J60" s="9" t="inlineStr">
        <is>
          <t>RF</t>
        </is>
      </c>
      <c r="K60" s="9" t="inlineStr">
        <is>
          <t>SX</t>
        </is>
      </c>
      <c r="L60" s="9" t="inlineStr">
        <is>
          <t>HH</t>
        </is>
      </c>
      <c r="M60" s="9" t="inlineStr">
        <is>
          <t>H</t>
        </is>
      </c>
      <c r="N60" s="9" t="inlineStr">
        <is>
          <t>H</t>
        </is>
      </c>
      <c r="O60" s="9" t="inlineStr">
        <is>
          <t>74
VLDP ISR</t>
        </is>
      </c>
      <c r="P60" s="9" t="inlineStr">
        <is>
          <t>---</t>
        </is>
      </c>
      <c r="Q60" s="9" t="inlineStr">
        <is>
          <t>73
VLDP ISR</t>
        </is>
      </c>
      <c r="R60" s="9" t="inlineStr">
        <is>
          <t>*H</t>
        </is>
      </c>
      <c r="S60" s="9" t="inlineStr">
        <is>
          <t>HH</t>
        </is>
      </c>
      <c r="T60" s="9" t="inlineStr">
        <is>
          <t>221DH</t>
        </is>
      </c>
      <c r="U60" s="9" t="inlineStr">
        <is>
          <t>727
VLDP ISR</t>
        </is>
      </c>
      <c r="V60" s="9" t="inlineStr">
        <is>
          <t>708
VLDP ISR</t>
        </is>
      </c>
      <c r="W60" s="9" t="inlineStr">
        <is>
          <t>H</t>
        </is>
      </c>
      <c r="X60" s="9" t="inlineStr">
        <is>
          <t>H</t>
        </is>
      </c>
      <c r="Y60" s="9" t="inlineStr">
        <is>
          <t>MTG1</t>
        </is>
      </c>
      <c r="Z60" s="9" t="inlineStr">
        <is>
          <t>R</t>
        </is>
      </c>
      <c r="AA60" s="9" t="inlineStr">
        <is>
          <t>59</t>
        </is>
      </c>
      <c r="AB60" s="9" t="inlineStr">
        <is>
          <t>---</t>
        </is>
      </c>
      <c r="AC60" s="9" t="inlineStr">
        <is>
          <t>---</t>
        </is>
      </c>
      <c r="AD60" s="9" t="inlineStr">
        <is>
          <t>---</t>
        </is>
      </c>
      <c r="AE60" s="9" t="inlineStr">
        <is>
          <t>50</t>
        </is>
      </c>
      <c r="AF60" s="9" t="inlineStr">
        <is>
          <t>H/VAC</t>
        </is>
      </c>
      <c r="AG60" s="9" t="inlineStr">
        <is>
          <t>H</t>
        </is>
      </c>
      <c r="AH60" s="9" t="inlineStr">
        <is>
          <t>GMT1</t>
        </is>
      </c>
      <c r="AI60" s="9" t="inlineStr">
        <is>
          <t>93
CAUG ISR
94
CAUG ISR</t>
        </is>
      </c>
      <c r="AJ60" s="9" t="inlineStr">
        <is>
          <t>707</t>
        </is>
      </c>
    </row>
    <row r="61">
      <c r="A61" s="1" t="inlineStr">
        <is>
          <t>41467-4</t>
        </is>
      </c>
      <c r="B61" s="1" t="inlineStr">
        <is>
          <t>ICHIKAWA TO</t>
        </is>
      </c>
      <c r="C61" s="1" t="inlineStr"/>
      <c r="D61" s="1" t="inlineStr">
        <is>
          <t>NTW001</t>
        </is>
      </c>
      <c r="E61" s="1" t="n"/>
      <c r="F61" s="9" t="inlineStr"/>
      <c r="G61" s="9">
        <f>HYPERLINK("#Schedule!F398", "UMEMIYAMA (53878)")</f>
        <v/>
      </c>
      <c r="H61" s="9">
        <f>HYPERLINK("#Schedule!F398", "UMEMIYAMA (53878)")</f>
        <v/>
      </c>
      <c r="I61" s="9">
        <f>HYPERLINK("#Schedule!F269", "永澤 TA (49245)")</f>
        <v/>
      </c>
      <c r="J61" s="9" t="inlineStr"/>
      <c r="K61" s="9" t="inlineStr"/>
      <c r="L61" s="9" t="inlineStr"/>
      <c r="M61" s="9" t="inlineStr"/>
      <c r="N61" s="9" t="inlineStr"/>
      <c r="O61" s="9">
        <f>HYPERLINK("#Schedule!F366", "OJIMAHI (53822)")</f>
        <v/>
      </c>
      <c r="P61" s="9" t="inlineStr"/>
      <c r="Q61" s="9">
        <f>HYPERLINK("#Schedule!F366", "OJIMAHI (53822)")</f>
        <v/>
      </c>
      <c r="R61" s="9" t="inlineStr"/>
      <c r="S61" s="9" t="inlineStr"/>
      <c r="T61" s="9">
        <f>HYPERLINK("#Schedule!F366", "OJIMAHI (53822)")</f>
        <v/>
      </c>
      <c r="U61" s="9">
        <f>HYPERLINK("#Schedule!F366", "OJIMAHI (53822)")</f>
        <v/>
      </c>
      <c r="V61" s="9">
        <f>HYPERLINK("#Schedule!F366", "OJIMAHI (53822)")</f>
        <v/>
      </c>
      <c r="W61" s="9" t="inlineStr"/>
      <c r="X61" s="9" t="inlineStr"/>
      <c r="Y61" s="9" t="inlineStr"/>
      <c r="Z61" s="9" t="inlineStr"/>
      <c r="AA61" s="9">
        <f>HYPERLINK("#Schedule!F204", "松井  (40567)")</f>
        <v/>
      </c>
      <c r="AB61" s="9" t="inlineStr"/>
      <c r="AC61" s="9" t="inlineStr"/>
      <c r="AD61" s="9" t="inlineStr"/>
      <c r="AE61" s="9">
        <f>HYPERLINK("#Schedule!F204", "松井  (40567)")</f>
        <v/>
      </c>
      <c r="AF61" s="9" t="inlineStr"/>
      <c r="AG61" s="9" t="inlineStr"/>
      <c r="AH61" s="9" t="inlineStr"/>
      <c r="AI61" s="9">
        <f>HYPERLINK("#Schedule!F374", "NAKAITO (53882)")</f>
        <v/>
      </c>
      <c r="AJ61" s="9" t="inlineStr"/>
    </row>
    <row r="62">
      <c r="A62" s="1" t="inlineStr">
        <is>
          <t>41467-5</t>
        </is>
      </c>
      <c r="B62" s="1" t="inlineStr">
        <is>
          <t>ICHIKAWA TO</t>
        </is>
      </c>
      <c r="C62" s="1" t="inlineStr"/>
      <c r="D62" s="1" t="inlineStr">
        <is>
          <t>NTW001</t>
        </is>
      </c>
      <c r="E62" s="1" t="n"/>
      <c r="F62" s="9" t="inlineStr"/>
      <c r="G62" s="9" t="inlineStr"/>
      <c r="H62" s="9" t="inlineStr"/>
      <c r="I62" s="9">
        <f>HYPERLINK("#Schedule!F392", "HAYASAKAMA (44520)")</f>
        <v/>
      </c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>
        <f>HYPERLINK("#Schedule!F392", "HAYASAKAMA (44520)")</f>
        <v/>
      </c>
      <c r="AJ62" s="9" t="inlineStr"/>
    </row>
    <row r="63">
      <c r="A63" s="1" t="inlineStr">
        <is>
          <t>41467-6</t>
        </is>
      </c>
      <c r="B63" s="1" t="inlineStr">
        <is>
          <t>ICHIKAWA TO</t>
        </is>
      </c>
      <c r="C63" s="1" t="inlineStr"/>
      <c r="D63" s="1" t="inlineStr">
        <is>
          <t>NTW001</t>
        </is>
      </c>
      <c r="E63" s="1" t="n"/>
      <c r="F63" s="9" t="inlineStr"/>
      <c r="G63" s="9" t="inlineStr"/>
      <c r="H63" s="9" t="inlineStr"/>
      <c r="I63" s="9">
        <f>HYPERLINK("#Schedule!F398", "UMEMIYAMA (53878)")</f>
        <v/>
      </c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</row>
    <row r="64">
      <c r="A64" s="1" t="inlineStr">
        <is>
          <t>43998-1</t>
        </is>
      </c>
      <c r="B64" s="1" t="inlineStr">
        <is>
          <t>GIDOH TO</t>
        </is>
      </c>
      <c r="C64" s="1" t="inlineStr"/>
      <c r="D64" s="1" t="inlineStr">
        <is>
          <t>NTW001</t>
        </is>
      </c>
      <c r="E64" s="1" t="n"/>
      <c r="F64" s="4" t="inlineStr">
        <is>
          <t>儀同 TO</t>
        </is>
      </c>
      <c r="G64" s="4" t="inlineStr">
        <is>
          <t>TO</t>
        </is>
      </c>
      <c r="H64" s="4" t="inlineStr">
        <is>
          <t>機種：</t>
        </is>
      </c>
      <c r="I64" s="4" t="inlineStr">
        <is>
          <t>787</t>
        </is>
      </c>
      <c r="J64" s="4" t="inlineStr">
        <is>
          <t>ランク：</t>
        </is>
      </c>
      <c r="K64" s="4" t="inlineStr">
        <is>
          <t>CAP</t>
        </is>
      </c>
      <c r="L64" s="4" t="inlineStr">
        <is>
          <t>期：</t>
        </is>
      </c>
      <c r="M64" s="4" t="inlineStr">
        <is>
          <t>職番：</t>
        </is>
      </c>
      <c r="N64" s="4" t="inlineStr">
        <is>
          <t>00043998</t>
        </is>
      </c>
      <c r="O64" s="4" t="inlineStr">
        <is>
          <t>所属：</t>
        </is>
      </c>
      <c r="P64" s="4" t="inlineStr">
        <is>
          <t>NTZNT</t>
        </is>
      </c>
      <c r="Q64" s="4" t="inlineStr">
        <is>
          <t>CAT資：</t>
        </is>
      </c>
      <c r="R64" s="4" t="inlineStr">
        <is>
          <t>CAT3</t>
        </is>
      </c>
      <c r="S64" s="4" t="inlineStr">
        <is>
          <t>T/O：</t>
        </is>
      </c>
      <c r="T64" s="4" t="inlineStr">
        <is>
          <t>3T250919</t>
        </is>
      </c>
      <c r="U64" s="4" t="inlineStr">
        <is>
          <t>L/D：</t>
        </is>
      </c>
      <c r="V64" s="4" t="inlineStr">
        <is>
          <t>3L250917</t>
        </is>
      </c>
      <c r="W64" s="4" t="inlineStr">
        <is>
          <t>PE：</t>
        </is>
      </c>
      <c r="X64" s="5" t="inlineStr">
        <is>
          <t>PE251114</t>
        </is>
      </c>
      <c r="Y64" s="4" t="inlineStr">
        <is>
          <t>誕生月：</t>
        </is>
      </c>
      <c r="Z64" s="4" t="inlineStr">
        <is>
          <t>02</t>
        </is>
      </c>
      <c r="AA64" s="6" t="inlineStr">
        <is>
          <t>電話：</t>
        </is>
      </c>
      <c r="AB64" s="6" t="inlineStr">
        <is>
          <t>090-6117-6506</t>
        </is>
      </c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>
        <is>
          <t>NTW001</t>
        </is>
      </c>
    </row>
    <row r="65">
      <c r="A65" s="1" t="inlineStr">
        <is>
          <t>43998-2</t>
        </is>
      </c>
      <c r="B65" s="1" t="inlineStr">
        <is>
          <t>GIDOH TO</t>
        </is>
      </c>
      <c r="C65" s="1" t="inlineStr"/>
      <c r="D65" s="1" t="inlineStr">
        <is>
          <t>NTW001</t>
        </is>
      </c>
      <c r="E65" s="1" t="n"/>
      <c r="F65" s="7" t="inlineStr">
        <is>
          <t>01</t>
        </is>
      </c>
      <c r="G65" s="7" t="inlineStr">
        <is>
          <t>02</t>
        </is>
      </c>
      <c r="H65" s="7" t="inlineStr">
        <is>
          <t>03</t>
        </is>
      </c>
      <c r="I65" s="7" t="inlineStr">
        <is>
          <t>04</t>
        </is>
      </c>
      <c r="J65" s="7" t="inlineStr">
        <is>
          <t>05</t>
        </is>
      </c>
      <c r="K65" s="7" t="inlineStr">
        <is>
          <t>06</t>
        </is>
      </c>
      <c r="L65" s="7" t="inlineStr">
        <is>
          <t>07</t>
        </is>
      </c>
      <c r="M65" s="7" t="inlineStr">
        <is>
          <t>08</t>
        </is>
      </c>
      <c r="N65" s="12" t="inlineStr">
        <is>
          <t>09</t>
        </is>
      </c>
      <c r="O65" s="7" t="inlineStr">
        <is>
          <t>10</t>
        </is>
      </c>
      <c r="P65" s="7" t="inlineStr">
        <is>
          <t>11</t>
        </is>
      </c>
      <c r="Q65" s="8" t="inlineStr">
        <is>
          <t>12</t>
        </is>
      </c>
      <c r="R65" s="8" t="inlineStr">
        <is>
          <t>13</t>
        </is>
      </c>
      <c r="S65" s="7" t="inlineStr">
        <is>
          <t>14</t>
        </is>
      </c>
      <c r="T65" s="8" t="inlineStr">
        <is>
          <t>15</t>
        </is>
      </c>
      <c r="U65" s="7" t="inlineStr">
        <is>
          <t>16</t>
        </is>
      </c>
      <c r="V65" s="8" t="inlineStr">
        <is>
          <t>17</t>
        </is>
      </c>
      <c r="W65" s="7" t="inlineStr">
        <is>
          <t>18</t>
        </is>
      </c>
      <c r="X65" s="7" t="inlineStr">
        <is>
          <t>19</t>
        </is>
      </c>
      <c r="Y65" s="7" t="inlineStr">
        <is>
          <t>20</t>
        </is>
      </c>
      <c r="Z65" s="7" t="inlineStr">
        <is>
          <t>21</t>
        </is>
      </c>
      <c r="AA65" s="7" t="inlineStr">
        <is>
          <t>22</t>
        </is>
      </c>
      <c r="AB65" s="7" t="inlineStr">
        <is>
          <t>23</t>
        </is>
      </c>
      <c r="AC65" s="8" t="inlineStr">
        <is>
          <t>24</t>
        </is>
      </c>
      <c r="AD65" s="7" t="inlineStr">
        <is>
          <t>25</t>
        </is>
      </c>
      <c r="AE65" s="8" t="inlineStr">
        <is>
          <t>26</t>
        </is>
      </c>
      <c r="AF65" s="8" t="inlineStr">
        <is>
          <t>27</t>
        </is>
      </c>
      <c r="AG65" s="7" t="inlineStr">
        <is>
          <t>28</t>
        </is>
      </c>
      <c r="AH65" s="7" t="inlineStr">
        <is>
          <t>29</t>
        </is>
      </c>
      <c r="AI65" s="7" t="inlineStr">
        <is>
          <t>30</t>
        </is>
      </c>
      <c r="AJ65" s="7" t="inlineStr">
        <is>
          <t>31</t>
        </is>
      </c>
    </row>
    <row r="66">
      <c r="A66" s="1" t="inlineStr">
        <is>
          <t>43998-3</t>
        </is>
      </c>
      <c r="B66" s="1" t="inlineStr">
        <is>
          <t>GIDOH TO</t>
        </is>
      </c>
      <c r="C66" s="1" t="inlineStr"/>
      <c r="D66" s="1" t="inlineStr">
        <is>
          <t>NTW001</t>
        </is>
      </c>
      <c r="E66" s="1" t="n"/>
      <c r="F66" s="9" t="inlineStr">
        <is>
          <t>---</t>
        </is>
      </c>
      <c r="G66" s="9" t="inlineStr">
        <is>
          <t>---</t>
        </is>
      </c>
      <c r="H66" s="9" t="inlineStr">
        <is>
          <t>61</t>
        </is>
      </c>
      <c r="I66" s="9" t="inlineStr">
        <is>
          <t>H</t>
        </is>
      </c>
      <c r="J66" s="9" t="inlineStr">
        <is>
          <t>H/VAC</t>
        </is>
      </c>
      <c r="K66" s="9" t="inlineStr">
        <is>
          <t>H/VAC</t>
        </is>
      </c>
      <c r="L66" s="9" t="inlineStr">
        <is>
          <t>H</t>
        </is>
      </c>
      <c r="M66" s="9" t="inlineStr">
        <is>
          <t>29</t>
        </is>
      </c>
      <c r="N66" s="9" t="inlineStr">
        <is>
          <t>736
QPR_ TRN</t>
        </is>
      </c>
      <c r="O66" s="9" t="inlineStr">
        <is>
          <t>ISR
ISR
#2
11:00-15:00</t>
        </is>
      </c>
      <c r="P66" s="9" t="inlineStr">
        <is>
          <t>H</t>
        </is>
      </c>
      <c r="Q66" s="9" t="inlineStr">
        <is>
          <t>809
CMD ISR</t>
        </is>
      </c>
      <c r="R66" s="9" t="inlineStr">
        <is>
          <t>802
CMD ISR</t>
        </is>
      </c>
      <c r="S66" s="9" t="inlineStr">
        <is>
          <t>H</t>
        </is>
      </c>
      <c r="T66" s="9" t="inlineStr">
        <is>
          <t>725
CMD ISR</t>
        </is>
      </c>
      <c r="U66" s="9" t="inlineStr">
        <is>
          <t>---</t>
        </is>
      </c>
      <c r="V66" s="9" t="inlineStr">
        <is>
          <t>726
CMD ISR</t>
        </is>
      </c>
      <c r="W66" s="9" t="inlineStr">
        <is>
          <t>HH</t>
        </is>
      </c>
      <c r="X66" s="9" t="inlineStr">
        <is>
          <t>HH</t>
        </is>
      </c>
      <c r="Y66" s="9" t="inlineStr">
        <is>
          <t>NTW1</t>
        </is>
      </c>
      <c r="Z66" s="9" t="inlineStr">
        <is>
          <t>VAC</t>
        </is>
      </c>
      <c r="AA66" s="9" t="inlineStr">
        <is>
          <t>VAC</t>
        </is>
      </c>
      <c r="AB66" s="9" t="inlineStr">
        <is>
          <t>H/VAC</t>
        </is>
      </c>
      <c r="AC66" s="9" t="inlineStr">
        <is>
          <t>95
CMD ISR</t>
        </is>
      </c>
      <c r="AD66" s="9" t="inlineStr">
        <is>
          <t>---</t>
        </is>
      </c>
      <c r="AE66" s="9" t="inlineStr">
        <is>
          <t>90
CMD ISR
225DH</t>
        </is>
      </c>
      <c r="AF66" s="9" t="inlineStr">
        <is>
          <t>891
CMD ISR
894
CMD ISR
134DH</t>
        </is>
      </c>
      <c r="AG66" s="9" t="inlineStr">
        <is>
          <t>H</t>
        </is>
      </c>
      <c r="AH66" s="9" t="inlineStr">
        <is>
          <t>GMT1</t>
        </is>
      </c>
      <c r="AI66" s="9" t="inlineStr">
        <is>
          <t>68</t>
        </is>
      </c>
      <c r="AJ66" s="9" t="inlineStr">
        <is>
          <t>---</t>
        </is>
      </c>
    </row>
    <row r="67">
      <c r="A67" s="1" t="inlineStr">
        <is>
          <t>43998-4</t>
        </is>
      </c>
      <c r="B67" s="1" t="inlineStr">
        <is>
          <t>GIDOH TO</t>
        </is>
      </c>
      <c r="C67" s="1" t="inlineStr"/>
      <c r="D67" s="1" t="inlineStr">
        <is>
          <t>NTW001</t>
        </is>
      </c>
      <c r="E67" s="1" t="n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>
        <f>HYPERLINK("#Schedule!F138", "I安藤 YU (37725)")</f>
        <v/>
      </c>
      <c r="P67" s="9" t="inlineStr"/>
      <c r="Q67" s="9">
        <f>HYPERLINK("#Schedule!F358", "KIMURASG (43856)")</f>
        <v/>
      </c>
      <c r="R67" s="9">
        <f>HYPERLINK("#Schedule!F358", "KIMURASG (43856)")</f>
        <v/>
      </c>
      <c r="S67" s="9" t="inlineStr"/>
      <c r="T67" s="9">
        <f>HYPERLINK("#Schedule!F379", "SAKAKIMA (50730)")</f>
        <v/>
      </c>
      <c r="U67" s="9" t="inlineStr"/>
      <c r="V67" s="9">
        <f>HYPERLINK("#Schedule!F379", "SAKAKIMA (50730)")</f>
        <v/>
      </c>
      <c r="W67" s="9" t="inlineStr"/>
      <c r="X67" s="9" t="inlineStr"/>
      <c r="Y67" s="9" t="inlineStr"/>
      <c r="Z67" s="9" t="inlineStr"/>
      <c r="AA67" s="9" t="inlineStr"/>
      <c r="AB67" s="9" t="inlineStr"/>
      <c r="AC67" s="9">
        <f>HYPERLINK("#Schedule!F404", "NISHIHARATA (41200)")</f>
        <v/>
      </c>
      <c r="AD67" s="9" t="inlineStr"/>
      <c r="AE67" s="9">
        <f>HYPERLINK("#Schedule!F404", "NISHIHARATA (41200)")</f>
        <v/>
      </c>
      <c r="AF67" s="9">
        <f>HYPERLINK("#Schedule!F404", "NISHIHARATA (41200)")</f>
        <v/>
      </c>
      <c r="AG67" s="9" t="inlineStr"/>
      <c r="AH67" s="9" t="inlineStr"/>
      <c r="AI67" s="9" t="inlineStr"/>
      <c r="AJ67" s="9" t="inlineStr"/>
    </row>
    <row r="68">
      <c r="A68" s="1" t="inlineStr">
        <is>
          <t>43998-5</t>
        </is>
      </c>
      <c r="B68" s="1" t="inlineStr">
        <is>
          <t>GIDOH TO</t>
        </is>
      </c>
      <c r="C68" s="1" t="inlineStr"/>
      <c r="D68" s="1" t="inlineStr">
        <is>
          <t>NTW001</t>
        </is>
      </c>
      <c r="E68" s="1" t="n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>
        <f>HYPERLINK("#Schedule!F111", "I高橋  (44524)")</f>
        <v/>
      </c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</row>
    <row r="69">
      <c r="A69" s="1" t="inlineStr">
        <is>
          <t>41218-1</t>
        </is>
      </c>
      <c r="B69" s="1" t="inlineStr">
        <is>
          <t>FURUKAWA DA</t>
        </is>
      </c>
      <c r="C69" s="1" t="inlineStr"/>
      <c r="D69" s="1" t="inlineStr">
        <is>
          <t>NTW002</t>
        </is>
      </c>
      <c r="E69" s="1" t="n"/>
      <c r="F69" s="4" t="inlineStr">
        <is>
          <t>古川 DA</t>
        </is>
      </c>
      <c r="G69" s="4" t="inlineStr">
        <is>
          <t>DA</t>
        </is>
      </c>
      <c r="H69" s="4" t="inlineStr">
        <is>
          <t>機種：</t>
        </is>
      </c>
      <c r="I69" s="4" t="inlineStr">
        <is>
          <t>787</t>
        </is>
      </c>
      <c r="J69" s="4" t="inlineStr">
        <is>
          <t>ランク：</t>
        </is>
      </c>
      <c r="K69" s="4" t="inlineStr">
        <is>
          <t>CAP</t>
        </is>
      </c>
      <c r="L69" s="4" t="inlineStr">
        <is>
          <t>期：</t>
        </is>
      </c>
      <c r="M69" s="4" t="inlineStr">
        <is>
          <t>職番：</t>
        </is>
      </c>
      <c r="N69" s="4" t="inlineStr">
        <is>
          <t>00041218</t>
        </is>
      </c>
      <c r="O69" s="4" t="inlineStr">
        <is>
          <t>所属：</t>
        </is>
      </c>
      <c r="P69" s="4" t="inlineStr">
        <is>
          <t>NTZNT</t>
        </is>
      </c>
      <c r="Q69" s="4" t="inlineStr">
        <is>
          <t>CAT資：</t>
        </is>
      </c>
      <c r="R69" s="4" t="inlineStr">
        <is>
          <t>CAT3</t>
        </is>
      </c>
      <c r="S69" s="4" t="inlineStr">
        <is>
          <t>T/O：</t>
        </is>
      </c>
      <c r="T69" s="4" t="inlineStr">
        <is>
          <t>3T250801</t>
        </is>
      </c>
      <c r="U69" s="4" t="inlineStr">
        <is>
          <t>L/D：</t>
        </is>
      </c>
      <c r="V69" s="4" t="inlineStr">
        <is>
          <t>3L250801</t>
        </is>
      </c>
      <c r="W69" s="4" t="inlineStr">
        <is>
          <t>PE：</t>
        </is>
      </c>
      <c r="X69" s="5" t="inlineStr">
        <is>
          <t>PE250917</t>
        </is>
      </c>
      <c r="Y69" s="4" t="inlineStr">
        <is>
          <t>誕生月：</t>
        </is>
      </c>
      <c r="Z69" s="4" t="inlineStr">
        <is>
          <t>09</t>
        </is>
      </c>
      <c r="AA69" s="6" t="inlineStr">
        <is>
          <t>電話：</t>
        </is>
      </c>
      <c r="AB69" s="6" t="inlineStr">
        <is>
          <t>03-3487-7744</t>
        </is>
      </c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>
        <is>
          <t>NTW002</t>
        </is>
      </c>
    </row>
    <row r="70">
      <c r="A70" s="1" t="inlineStr">
        <is>
          <t>41218-2</t>
        </is>
      </c>
      <c r="B70" s="1" t="inlineStr">
        <is>
          <t>FURUKAWA DA</t>
        </is>
      </c>
      <c r="C70" s="1" t="inlineStr"/>
      <c r="D70" s="1" t="inlineStr">
        <is>
          <t>NTW002</t>
        </is>
      </c>
      <c r="E70" s="1" t="n"/>
      <c r="F70" s="7" t="inlineStr">
        <is>
          <t>01</t>
        </is>
      </c>
      <c r="G70" s="7" t="inlineStr">
        <is>
          <t>02</t>
        </is>
      </c>
      <c r="H70" s="7" t="inlineStr">
        <is>
          <t>03</t>
        </is>
      </c>
      <c r="I70" s="7" t="inlineStr">
        <is>
          <t>04</t>
        </is>
      </c>
      <c r="J70" s="7" t="inlineStr">
        <is>
          <t>05</t>
        </is>
      </c>
      <c r="K70" s="7" t="inlineStr">
        <is>
          <t>06</t>
        </is>
      </c>
      <c r="L70" s="7" t="inlineStr">
        <is>
          <t>07</t>
        </is>
      </c>
      <c r="M70" s="7" t="inlineStr">
        <is>
          <t>08</t>
        </is>
      </c>
      <c r="N70" s="7" t="inlineStr">
        <is>
          <t>09</t>
        </is>
      </c>
      <c r="O70" s="7" t="inlineStr">
        <is>
          <t>10</t>
        </is>
      </c>
      <c r="P70" s="13" t="inlineStr">
        <is>
          <t>11</t>
        </is>
      </c>
      <c r="Q70" s="7" t="inlineStr">
        <is>
          <t>12</t>
        </is>
      </c>
      <c r="R70" s="7" t="inlineStr">
        <is>
          <t>13</t>
        </is>
      </c>
      <c r="S70" s="13" t="inlineStr">
        <is>
          <t>14</t>
        </is>
      </c>
      <c r="T70" s="7" t="inlineStr">
        <is>
          <t>15</t>
        </is>
      </c>
      <c r="U70" s="7" t="inlineStr">
        <is>
          <t>16</t>
        </is>
      </c>
      <c r="V70" s="7" t="inlineStr">
        <is>
          <t>17</t>
        </is>
      </c>
      <c r="W70" s="7" t="inlineStr">
        <is>
          <t>18</t>
        </is>
      </c>
      <c r="X70" s="7" t="inlineStr">
        <is>
          <t>19</t>
        </is>
      </c>
      <c r="Y70" s="7" t="inlineStr">
        <is>
          <t>20</t>
        </is>
      </c>
      <c r="Z70" s="7" t="inlineStr">
        <is>
          <t>21</t>
        </is>
      </c>
      <c r="AA70" s="7" t="inlineStr">
        <is>
          <t>22</t>
        </is>
      </c>
      <c r="AB70" s="7" t="inlineStr">
        <is>
          <t>23</t>
        </is>
      </c>
      <c r="AC70" s="7" t="inlineStr">
        <is>
          <t>24</t>
        </is>
      </c>
      <c r="AD70" s="13" t="inlineStr">
        <is>
          <t>25</t>
        </is>
      </c>
      <c r="AE70" s="12" t="inlineStr">
        <is>
          <t>26</t>
        </is>
      </c>
      <c r="AF70" s="12" t="inlineStr">
        <is>
          <t>27</t>
        </is>
      </c>
      <c r="AG70" s="7" t="inlineStr">
        <is>
          <t>28</t>
        </is>
      </c>
      <c r="AH70" s="7" t="inlineStr">
        <is>
          <t>29</t>
        </is>
      </c>
      <c r="AI70" s="7" t="inlineStr">
        <is>
          <t>30</t>
        </is>
      </c>
      <c r="AJ70" s="7" t="inlineStr">
        <is>
          <t>31</t>
        </is>
      </c>
    </row>
    <row r="71">
      <c r="A71" s="1" t="inlineStr">
        <is>
          <t>41218-3</t>
        </is>
      </c>
      <c r="B71" s="1" t="inlineStr">
        <is>
          <t>FURUKAWA DA</t>
        </is>
      </c>
      <c r="C71" s="1" t="inlineStr"/>
      <c r="D71" s="1" t="inlineStr">
        <is>
          <t>NTW002</t>
        </is>
      </c>
      <c r="E71" s="1" t="n"/>
      <c r="F71" s="9" t="inlineStr">
        <is>
          <t>CATR
ISR
#2
15:00-19:00
CATR/L1</t>
        </is>
      </c>
      <c r="G71" s="9" t="inlineStr">
        <is>
          <t>H</t>
        </is>
      </c>
      <c r="H71" s="9" t="inlineStr">
        <is>
          <t>CATR
ISR
#1
11:00-15:00
CATR/RSV</t>
        </is>
      </c>
      <c r="I71" s="9" t="inlineStr">
        <is>
          <t>H</t>
        </is>
      </c>
      <c r="J71" s="9" t="inlineStr">
        <is>
          <t>CATR
ISR
#1
11:00-15:00
CATR/L2</t>
        </is>
      </c>
      <c r="K71" s="9" t="inlineStr">
        <is>
          <t>NTW1</t>
        </is>
      </c>
      <c r="L71" s="9" t="inlineStr">
        <is>
          <t>RF</t>
        </is>
      </c>
      <c r="M71" s="9" t="inlineStr">
        <is>
          <t>MTG1</t>
        </is>
      </c>
      <c r="N71" s="9" t="inlineStr">
        <is>
          <t>CATR
ISR
#1
11:00-15:00
CATR/CHK</t>
        </is>
      </c>
      <c r="O71" s="9" t="inlineStr">
        <is>
          <t>H</t>
        </is>
      </c>
      <c r="P71" s="9" t="inlineStr">
        <is>
          <t>GS
GS ISR</t>
        </is>
      </c>
      <c r="Q71" s="9" t="inlineStr">
        <is>
          <t>NTW1</t>
        </is>
      </c>
      <c r="R71" s="9" t="inlineStr">
        <is>
          <t>H</t>
        </is>
      </c>
      <c r="S71" s="9" t="inlineStr">
        <is>
          <t>PLTR
GS ISR
PLTR
GS ISR
PLTR
GS ISR</t>
        </is>
      </c>
      <c r="T71" s="9" t="inlineStr">
        <is>
          <t>MTG1</t>
        </is>
      </c>
      <c r="U71" s="9" t="inlineStr">
        <is>
          <t>H/VAC</t>
        </is>
      </c>
      <c r="V71" s="9" t="inlineStr">
        <is>
          <t>CATR
ISR
#1
15:00-19:00
CATR/FFLC_L1</t>
        </is>
      </c>
      <c r="W71" s="9" t="inlineStr">
        <is>
          <t>CATR
ISR</t>
        </is>
      </c>
      <c r="X71" s="9" t="inlineStr">
        <is>
          <t>CATR
ISR
#2
15:00-19:00
CATR/FFLC_L2</t>
        </is>
      </c>
      <c r="Y71" s="9" t="inlineStr">
        <is>
          <t>MTG1</t>
        </is>
      </c>
      <c r="Z71" s="9" t="inlineStr">
        <is>
          <t>R</t>
        </is>
      </c>
      <c r="AA71" s="9" t="inlineStr">
        <is>
          <t>HH</t>
        </is>
      </c>
      <c r="AB71" s="9" t="inlineStr">
        <is>
          <t>HH</t>
        </is>
      </c>
      <c r="AC71" s="9" t="inlineStr">
        <is>
          <t>97
98</t>
        </is>
      </c>
      <c r="AD71" s="9" t="inlineStr">
        <is>
          <t>GS
GS ISR</t>
        </is>
      </c>
      <c r="AE71" s="9" t="inlineStr">
        <is>
          <t>M21
TRN
#1
15:00-19:00</t>
        </is>
      </c>
      <c r="AF71" s="9" t="inlineStr">
        <is>
          <t>M22
TRN
#2
19:00-23:00</t>
        </is>
      </c>
      <c r="AG71" s="9" t="inlineStr">
        <is>
          <t>H/VAC</t>
        </is>
      </c>
      <c r="AH71" s="9" t="inlineStr">
        <is>
          <t>GMT1</t>
        </is>
      </c>
      <c r="AI71" s="9" t="inlineStr">
        <is>
          <t>H/VAC</t>
        </is>
      </c>
      <c r="AJ71" s="9" t="inlineStr">
        <is>
          <t>H/VAC</t>
        </is>
      </c>
    </row>
    <row r="72">
      <c r="A72" s="1" t="inlineStr">
        <is>
          <t>41218-4</t>
        </is>
      </c>
      <c r="B72" s="1" t="inlineStr">
        <is>
          <t>FURUKAWA DA</t>
        </is>
      </c>
      <c r="C72" s="1" t="inlineStr"/>
      <c r="D72" s="1" t="inlineStr">
        <is>
          <t>NTW002</t>
        </is>
      </c>
      <c r="E72" s="1" t="n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>
        <f>HYPERLINK("#Schedule!F15", "I沼田KE (41168)")</f>
        <v/>
      </c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>
        <f>HYPERLINK("#Schedule!F19", "I崎濱SH (36186)")</f>
        <v/>
      </c>
      <c r="AF72" s="9" t="inlineStr">
        <is>
          <t>I木内KA</t>
        </is>
      </c>
      <c r="AG72" s="9" t="inlineStr"/>
      <c r="AH72" s="9" t="inlineStr"/>
      <c r="AI72" s="9" t="inlineStr"/>
      <c r="AJ72" s="9" t="inlineStr"/>
    </row>
    <row r="73">
      <c r="A73" s="1" t="inlineStr">
        <is>
          <t>41574-1</t>
        </is>
      </c>
      <c r="B73" s="1" t="inlineStr">
        <is>
          <t xml:space="preserve">KIMURA 村 </t>
        </is>
      </c>
      <c r="C73" s="1" t="inlineStr"/>
      <c r="D73" s="1" t="inlineStr">
        <is>
          <t>NTW002</t>
        </is>
      </c>
      <c r="E73" s="1" t="n"/>
      <c r="F73" s="4" t="inlineStr">
        <is>
          <t xml:space="preserve">木村 </t>
        </is>
      </c>
      <c r="G73" s="4" t="inlineStr">
        <is>
          <t>NA</t>
        </is>
      </c>
      <c r="H73" s="4" t="inlineStr">
        <is>
          <t>機種：</t>
        </is>
      </c>
      <c r="I73" s="4" t="inlineStr">
        <is>
          <t>787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00041574</t>
        </is>
      </c>
      <c r="O73" s="4" t="inlineStr">
        <is>
          <t>所属：</t>
        </is>
      </c>
      <c r="P73" s="4" t="inlineStr">
        <is>
          <t>NTZNT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3T250806</t>
        </is>
      </c>
      <c r="U73" s="4" t="inlineStr">
        <is>
          <t>L/D：</t>
        </is>
      </c>
      <c r="V73" s="4" t="inlineStr">
        <is>
          <t>3L250815</t>
        </is>
      </c>
      <c r="W73" s="4" t="inlineStr">
        <is>
          <t>PE：</t>
        </is>
      </c>
      <c r="X73" s="5" t="inlineStr">
        <is>
          <t>PE250823</t>
        </is>
      </c>
      <c r="Y73" s="4" t="inlineStr">
        <is>
          <t>誕生月：</t>
        </is>
      </c>
      <c r="Z73" s="4" t="inlineStr">
        <is>
          <t>12</t>
        </is>
      </c>
      <c r="AA73" s="6" t="inlineStr">
        <is>
          <t>電話：</t>
        </is>
      </c>
      <c r="AB73" s="6" t="inlineStr">
        <is>
          <t>03-5707-5661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NTW002</t>
        </is>
      </c>
    </row>
    <row r="74">
      <c r="A74" s="1" t="inlineStr">
        <is>
          <t>41574-2</t>
        </is>
      </c>
      <c r="B74" s="1" t="inlineStr">
        <is>
          <t xml:space="preserve">KIMURA 村 </t>
        </is>
      </c>
      <c r="C74" s="1" t="inlineStr"/>
      <c r="D74" s="1" t="inlineStr">
        <is>
          <t>NTW002</t>
        </is>
      </c>
      <c r="E74" s="1" t="n"/>
      <c r="F74" s="8" t="inlineStr">
        <is>
          <t>01</t>
        </is>
      </c>
      <c r="G74" s="7" t="inlineStr">
        <is>
          <t>02</t>
        </is>
      </c>
      <c r="H74" s="8" t="inlineStr">
        <is>
          <t>03</t>
        </is>
      </c>
      <c r="I74" s="8" t="inlineStr">
        <is>
          <t>04</t>
        </is>
      </c>
      <c r="J74" s="7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8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10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8" t="inlineStr">
        <is>
          <t>23</t>
        </is>
      </c>
      <c r="AC74" s="7" t="inlineStr">
        <is>
          <t>24</t>
        </is>
      </c>
      <c r="AD74" s="8" t="inlineStr">
        <is>
          <t>25</t>
        </is>
      </c>
      <c r="AE74" s="7" t="inlineStr">
        <is>
          <t>26</t>
        </is>
      </c>
      <c r="AF74" s="7" t="inlineStr">
        <is>
          <t>27</t>
        </is>
      </c>
      <c r="AG74" s="7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41574-3</t>
        </is>
      </c>
      <c r="B75" s="1" t="inlineStr">
        <is>
          <t xml:space="preserve">KIMURA 村 </t>
        </is>
      </c>
      <c r="C75" s="1" t="inlineStr"/>
      <c r="D75" s="1" t="inlineStr">
        <is>
          <t>NTW002</t>
        </is>
      </c>
      <c r="E75" s="1" t="n"/>
      <c r="F75" s="9" t="inlineStr">
        <is>
          <t>95
VLDE ISR</t>
        </is>
      </c>
      <c r="G75" s="9" t="inlineStr">
        <is>
          <t>---</t>
        </is>
      </c>
      <c r="H75" s="9" t="inlineStr">
        <is>
          <t>90
VLDE ISR
225DH</t>
        </is>
      </c>
      <c r="I75" s="9" t="inlineStr">
        <is>
          <t>891
VLDE ISR
894
VLDE ISR
134DH</t>
        </is>
      </c>
      <c r="J75" s="9" t="inlineStr">
        <is>
          <t>*H</t>
        </is>
      </c>
      <c r="K75" s="9" t="inlineStr">
        <is>
          <t>H</t>
        </is>
      </c>
      <c r="L75" s="9" t="inlineStr">
        <is>
          <t>BFG</t>
        </is>
      </c>
      <c r="M75" s="9" t="inlineStr">
        <is>
          <t>MTG1</t>
        </is>
      </c>
      <c r="N75" s="9" t="inlineStr">
        <is>
          <t>NTW1</t>
        </is>
      </c>
      <c r="O75" s="9" t="inlineStr">
        <is>
          <t>H</t>
        </is>
      </c>
      <c r="P75" s="9" t="inlineStr">
        <is>
          <t>23
CAUG ISR
24
CAUG ISR</t>
        </is>
      </c>
      <c r="Q75" s="9" t="inlineStr">
        <is>
          <t>CMD
ISR
#2
18:00-20:00</t>
        </is>
      </c>
      <c r="R75" s="9" t="inlineStr">
        <is>
          <t>HH</t>
        </is>
      </c>
      <c r="S75" s="9" t="inlineStr">
        <is>
          <t>HH</t>
        </is>
      </c>
      <c r="T75" s="9" t="inlineStr">
        <is>
          <t>H</t>
        </is>
      </c>
      <c r="U75" s="9" t="inlineStr">
        <is>
          <t>PE
PE TRN
PE
PE TRN</t>
        </is>
      </c>
      <c r="V75" s="9" t="inlineStr">
        <is>
          <t>H</t>
        </is>
      </c>
      <c r="W75" s="9" t="inlineStr">
        <is>
          <t>H</t>
        </is>
      </c>
      <c r="X75" s="9" t="inlineStr">
        <is>
          <t>M21
ISR
#2
07:00-11:00</t>
        </is>
      </c>
      <c r="Y75" s="9" t="inlineStr">
        <is>
          <t>MTG1</t>
        </is>
      </c>
      <c r="Z75" s="9" t="inlineStr">
        <is>
          <t>MTG1</t>
        </is>
      </c>
      <c r="AA75" s="9" t="inlineStr">
        <is>
          <t>VAC</t>
        </is>
      </c>
      <c r="AB75" s="9" t="inlineStr">
        <is>
          <t>725
CAUG ISR</t>
        </is>
      </c>
      <c r="AC75" s="9" t="inlineStr">
        <is>
          <t>---</t>
        </is>
      </c>
      <c r="AD75" s="9" t="inlineStr">
        <is>
          <t>726
CAUG ISR</t>
        </is>
      </c>
      <c r="AE75" s="9" t="inlineStr">
        <is>
          <t>*H</t>
        </is>
      </c>
      <c r="AF75" s="9" t="inlineStr">
        <is>
          <t>NTW1</t>
        </is>
      </c>
      <c r="AG75" s="9" t="inlineStr">
        <is>
          <t>NTW1</t>
        </is>
      </c>
      <c r="AH75" s="9" t="inlineStr">
        <is>
          <t>GMT1</t>
        </is>
      </c>
      <c r="AI75" s="9" t="inlineStr">
        <is>
          <t>H/VAC</t>
        </is>
      </c>
      <c r="AJ75" s="9" t="inlineStr">
        <is>
          <t>VAC</t>
        </is>
      </c>
    </row>
    <row r="76">
      <c r="A76" s="1" t="inlineStr">
        <is>
          <t>41574-4</t>
        </is>
      </c>
      <c r="B76" s="1" t="inlineStr">
        <is>
          <t xml:space="preserve">KIMURA 村 </t>
        </is>
      </c>
      <c r="C76" s="1" t="inlineStr"/>
      <c r="D76" s="1" t="inlineStr">
        <is>
          <t>NTW002</t>
        </is>
      </c>
      <c r="E76" s="1" t="n"/>
      <c r="F76" s="9">
        <f>HYPERLINK("#Schedule!F412", "MATSUDAMA (51871)")</f>
        <v/>
      </c>
      <c r="G76" s="9" t="inlineStr"/>
      <c r="H76" s="9">
        <f>HYPERLINK("#Schedule!F412", "MATSUDAMA (51871)")</f>
        <v/>
      </c>
      <c r="I76" s="9">
        <f>HYPERLINK("#Schedule!F412", "MATSUDAMA (51871)")</f>
        <v/>
      </c>
      <c r="J76" s="9" t="inlineStr"/>
      <c r="K76" s="9" t="inlineStr"/>
      <c r="L76" s="9" t="inlineStr"/>
      <c r="M76" s="9" t="inlineStr"/>
      <c r="N76" s="9" t="inlineStr"/>
      <c r="O76" s="9" t="inlineStr"/>
      <c r="P76" s="9">
        <f>HYPERLINK("#Schedule!F320", "OTAKA (38601)")</f>
        <v/>
      </c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>
        <is>
          <t>I渡部 YU</t>
        </is>
      </c>
      <c r="Y76" s="9" t="inlineStr"/>
      <c r="Z76" s="9" t="inlineStr"/>
      <c r="AA76" s="9" t="inlineStr"/>
      <c r="AB76" s="9" t="inlineStr">
        <is>
          <t>TOYAMASH</t>
        </is>
      </c>
      <c r="AC76" s="9" t="inlineStr"/>
      <c r="AD76" s="9" t="inlineStr">
        <is>
          <t>TOYAMASH</t>
        </is>
      </c>
      <c r="AE76" s="9" t="inlineStr"/>
      <c r="AF76" s="9" t="inlineStr"/>
      <c r="AG76" s="9" t="inlineStr"/>
      <c r="AH76" s="9" t="inlineStr"/>
      <c r="AI76" s="9" t="inlineStr"/>
      <c r="AJ76" s="9" t="inlineStr"/>
    </row>
    <row r="77">
      <c r="A77" s="1" t="inlineStr">
        <is>
          <t>67650-1</t>
        </is>
      </c>
      <c r="B77" s="1" t="inlineStr">
        <is>
          <t>KOIKE TO</t>
        </is>
      </c>
      <c r="C77" s="1" t="inlineStr"/>
      <c r="D77" s="1" t="inlineStr">
        <is>
          <t>NTW002</t>
        </is>
      </c>
      <c r="E77" s="1" t="n"/>
      <c r="F77" s="4" t="inlineStr">
        <is>
          <t>古池 TO</t>
        </is>
      </c>
      <c r="G77" s="4" t="inlineStr">
        <is>
          <t>TS</t>
        </is>
      </c>
      <c r="H77" s="4" t="inlineStr">
        <is>
          <t>機種：</t>
        </is>
      </c>
      <c r="I77" s="4" t="inlineStr">
        <is>
          <t>787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00067650</t>
        </is>
      </c>
      <c r="O77" s="4" t="inlineStr">
        <is>
          <t>所属：</t>
        </is>
      </c>
      <c r="P77" s="4" t="inlineStr">
        <is>
          <t>NTZNT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3T250930</t>
        </is>
      </c>
      <c r="U77" s="4" t="inlineStr">
        <is>
          <t>L/D：</t>
        </is>
      </c>
      <c r="V77" s="4" t="inlineStr">
        <is>
          <t>3L250930</t>
        </is>
      </c>
      <c r="W77" s="4" t="inlineStr">
        <is>
          <t>PE：</t>
        </is>
      </c>
      <c r="X77" s="5" t="inlineStr">
        <is>
          <t>PE251210</t>
        </is>
      </c>
      <c r="Y77" s="4" t="inlineStr">
        <is>
          <t>誕生月：</t>
        </is>
      </c>
      <c r="Z77" s="4" t="inlineStr">
        <is>
          <t>09</t>
        </is>
      </c>
      <c r="AA77" s="6" t="inlineStr">
        <is>
          <t>電話：</t>
        </is>
      </c>
      <c r="AB77" s="6" t="inlineStr">
        <is>
          <t>080-5472-8808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>
        <is>
          <t>NTW002</t>
        </is>
      </c>
    </row>
    <row r="78">
      <c r="A78" s="1" t="inlineStr">
        <is>
          <t>67650-2</t>
        </is>
      </c>
      <c r="B78" s="1" t="inlineStr">
        <is>
          <t>KOIKE TO</t>
        </is>
      </c>
      <c r="C78" s="1" t="inlineStr"/>
      <c r="D78" s="1" t="inlineStr">
        <is>
          <t>NTW002</t>
        </is>
      </c>
      <c r="E78" s="1" t="n"/>
      <c r="F78" s="7" t="inlineStr">
        <is>
          <t>01</t>
        </is>
      </c>
      <c r="G78" s="7" t="inlineStr">
        <is>
          <t>02</t>
        </is>
      </c>
      <c r="H78" s="8" t="inlineStr">
        <is>
          <t>03</t>
        </is>
      </c>
      <c r="I78" s="8" t="inlineStr">
        <is>
          <t>04</t>
        </is>
      </c>
      <c r="J78" s="7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12" t="inlineStr">
        <is>
          <t>19</t>
        </is>
      </c>
      <c r="Y78" s="12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7" t="inlineStr">
        <is>
          <t>24</t>
        </is>
      </c>
      <c r="AD78" s="7" t="inlineStr">
        <is>
          <t>25</t>
        </is>
      </c>
      <c r="AE78" s="7" t="inlineStr">
        <is>
          <t>26</t>
        </is>
      </c>
      <c r="AF78" s="8" t="inlineStr">
        <is>
          <t>27</t>
        </is>
      </c>
      <c r="AG78" s="8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13" t="inlineStr">
        <is>
          <t>31</t>
        </is>
      </c>
    </row>
    <row r="79">
      <c r="A79" s="1" t="inlineStr">
        <is>
          <t>67650-3</t>
        </is>
      </c>
      <c r="B79" s="1" t="inlineStr">
        <is>
          <t>KOIKE TO</t>
        </is>
      </c>
      <c r="C79" s="1" t="inlineStr"/>
      <c r="D79" s="1" t="inlineStr">
        <is>
          <t>NTW002</t>
        </is>
      </c>
      <c r="E79" s="1" t="n"/>
      <c r="F79" s="9" t="inlineStr">
        <is>
          <t>H/VAC</t>
        </is>
      </c>
      <c r="G79" s="9" t="inlineStr">
        <is>
          <t>VAC</t>
        </is>
      </c>
      <c r="H79" s="9" t="inlineStr">
        <is>
          <t>101
CMD ISR
106
CMD ISR
113
CMD ISR</t>
        </is>
      </c>
      <c r="I79" s="9" t="inlineStr">
        <is>
          <t>104
CMD ISR
111
CMD ISR
114
CMD ISR</t>
        </is>
      </c>
      <c r="J79" s="9" t="inlineStr">
        <is>
          <t>H</t>
        </is>
      </c>
      <c r="K79" s="9" t="inlineStr">
        <is>
          <t>753</t>
        </is>
      </c>
      <c r="L79" s="9" t="inlineStr">
        <is>
          <t>---</t>
        </is>
      </c>
      <c r="M79" s="9" t="inlineStr">
        <is>
          <t>754</t>
        </is>
      </c>
      <c r="N79" s="9" t="inlineStr">
        <is>
          <t>*H</t>
        </is>
      </c>
      <c r="O79" s="9" t="inlineStr">
        <is>
          <t>H</t>
        </is>
      </c>
      <c r="P79" s="9" t="inlineStr">
        <is>
          <t>H</t>
        </is>
      </c>
      <c r="Q79" s="9" t="inlineStr">
        <is>
          <t>59</t>
        </is>
      </c>
      <c r="R79" s="9" t="inlineStr">
        <is>
          <t>---</t>
        </is>
      </c>
      <c r="S79" s="9" t="inlineStr">
        <is>
          <t>---</t>
        </is>
      </c>
      <c r="T79" s="9" t="inlineStr">
        <is>
          <t>---</t>
        </is>
      </c>
      <c r="U79" s="9" t="inlineStr">
        <is>
          <t>50</t>
        </is>
      </c>
      <c r="V79" s="9" t="inlineStr">
        <is>
          <t>H/VAC</t>
        </is>
      </c>
      <c r="W79" s="9" t="inlineStr">
        <is>
          <t>H</t>
        </is>
      </c>
      <c r="X79" s="9" t="inlineStr">
        <is>
          <t>M11
TRN
#2
14:00-15:00</t>
        </is>
      </c>
      <c r="Y79" s="9" t="inlineStr">
        <is>
          <t>M12
TRN
#2
19:00-23:00</t>
        </is>
      </c>
      <c r="Z79" s="9" t="inlineStr">
        <is>
          <t>R</t>
        </is>
      </c>
      <c r="AA79" s="9" t="inlineStr">
        <is>
          <t>8786</t>
        </is>
      </c>
      <c r="AB79" s="9" t="inlineStr">
        <is>
          <t>---</t>
        </is>
      </c>
      <c r="AC79" s="9" t="inlineStr">
        <is>
          <t>791
130DH</t>
        </is>
      </c>
      <c r="AD79" s="9" t="inlineStr">
        <is>
          <t>HH</t>
        </is>
      </c>
      <c r="AE79" s="9" t="inlineStr">
        <is>
          <t>HH</t>
        </is>
      </c>
      <c r="AF79" s="9" t="inlineStr">
        <is>
          <t>25
CAUG ISR</t>
        </is>
      </c>
      <c r="AG79" s="9" t="inlineStr">
        <is>
          <t>20
CAUG ISR</t>
        </is>
      </c>
      <c r="AH79" s="9" t="inlineStr">
        <is>
          <t>GMT1</t>
        </is>
      </c>
      <c r="AI79" s="9" t="inlineStr">
        <is>
          <t>H</t>
        </is>
      </c>
      <c r="AJ79" s="9" t="inlineStr">
        <is>
          <t>RCBT
CBT1 TRN
GS
GS-C TRN
DIT
DIT TRN</t>
        </is>
      </c>
    </row>
    <row r="80">
      <c r="A80" s="1" t="inlineStr">
        <is>
          <t>67650-4</t>
        </is>
      </c>
      <c r="B80" s="1" t="inlineStr">
        <is>
          <t>KOIKE TO</t>
        </is>
      </c>
      <c r="C80" s="1" t="inlineStr"/>
      <c r="D80" s="1" t="inlineStr">
        <is>
          <t>NTW002</t>
        </is>
      </c>
      <c r="E80" s="1" t="n"/>
      <c r="F80" s="9" t="inlineStr"/>
      <c r="G80" s="9" t="inlineStr"/>
      <c r="H80" s="9">
        <f>HYPERLINK("#Schedule!F437", "HAYASHIKA (48991)")</f>
        <v/>
      </c>
      <c r="I80" s="9">
        <f>HYPERLINK("#Schedule!F437", "HAYASHIKA (48991)")</f>
        <v/>
      </c>
      <c r="J80" s="9" t="inlineStr"/>
      <c r="K80" s="9">
        <f>HYPERLINK("#Schedule!F234", "富川 MA (67428)")</f>
        <v/>
      </c>
      <c r="L80" s="9" t="inlineStr"/>
      <c r="M80" s="9">
        <f>HYPERLINK("#Schedule!F234", "富川 MA (67428)")</f>
        <v/>
      </c>
      <c r="N80" s="9" t="inlineStr"/>
      <c r="O80" s="9" t="inlineStr"/>
      <c r="P80" s="9" t="inlineStr"/>
      <c r="Q80" s="9">
        <f>HYPERLINK("#Schedule!F156", "原口 HR (41170)")</f>
        <v/>
      </c>
      <c r="R80" s="9" t="inlineStr"/>
      <c r="S80" s="9" t="inlineStr"/>
      <c r="T80" s="9" t="inlineStr"/>
      <c r="U80" s="9">
        <f>HYPERLINK("#Schedule!F156", "原口 HR (41170)")</f>
        <v/>
      </c>
      <c r="V80" s="9" t="inlineStr"/>
      <c r="W80" s="9" t="inlineStr"/>
      <c r="X80" s="9" t="inlineStr"/>
      <c r="Y80" s="9" t="inlineStr">
        <is>
          <t>I佐々木 RO</t>
        </is>
      </c>
      <c r="Z80" s="9" t="inlineStr"/>
      <c r="AA80" s="9" t="inlineStr"/>
      <c r="AB80" s="9" t="inlineStr"/>
      <c r="AC80" s="9" t="inlineStr"/>
      <c r="AD80" s="9" t="inlineStr"/>
      <c r="AE80" s="9" t="inlineStr"/>
      <c r="AF80" s="9">
        <f>HYPERLINK("#Schedule!F346", "KOIZUMIKE (53825)")</f>
        <v/>
      </c>
      <c r="AG80" s="9">
        <f>HYPERLINK("#Schedule!F346", "KOIZUMIKE (53825)")</f>
        <v/>
      </c>
      <c r="AH80" s="9" t="inlineStr"/>
      <c r="AI80" s="9" t="inlineStr"/>
      <c r="AJ80" s="9" t="inlineStr"/>
    </row>
    <row r="81">
      <c r="A81" s="1" t="inlineStr">
        <is>
          <t>37755-1</t>
        </is>
      </c>
      <c r="B81" s="1" t="inlineStr">
        <is>
          <t>KITAMURA YA</t>
        </is>
      </c>
      <c r="C81" s="1" t="inlineStr"/>
      <c r="D81" s="1" t="inlineStr">
        <is>
          <t>NTW002</t>
        </is>
      </c>
      <c r="E81" s="1" t="n"/>
      <c r="F81" s="4" t="inlineStr">
        <is>
          <t>北村 YA</t>
        </is>
      </c>
      <c r="G81" s="4" t="inlineStr">
        <is>
          <t>YA</t>
        </is>
      </c>
      <c r="H81" s="4" t="inlineStr">
        <is>
          <t>機種：</t>
        </is>
      </c>
      <c r="I81" s="4" t="inlineStr">
        <is>
          <t>787</t>
        </is>
      </c>
      <c r="J81" s="4" t="inlineStr">
        <is>
          <t>ランク：</t>
        </is>
      </c>
      <c r="K81" s="4" t="inlineStr">
        <is>
          <t>CAP</t>
        </is>
      </c>
      <c r="L81" s="4" t="inlineStr">
        <is>
          <t>期：</t>
        </is>
      </c>
      <c r="M81" s="4" t="inlineStr">
        <is>
          <t>職番：</t>
        </is>
      </c>
      <c r="N81" s="4" t="inlineStr">
        <is>
          <t>00037755</t>
        </is>
      </c>
      <c r="O81" s="4" t="inlineStr">
        <is>
          <t>所属：</t>
        </is>
      </c>
      <c r="P81" s="4" t="inlineStr">
        <is>
          <t>NTZNT</t>
        </is>
      </c>
      <c r="Q81" s="4" t="inlineStr">
        <is>
          <t>CAT資：</t>
        </is>
      </c>
      <c r="R81" s="4" t="inlineStr">
        <is>
          <t>CAT3</t>
        </is>
      </c>
      <c r="S81" s="4" t="inlineStr">
        <is>
          <t>T/O：</t>
        </is>
      </c>
      <c r="T81" s="4" t="inlineStr">
        <is>
          <t>3T250830</t>
        </is>
      </c>
      <c r="U81" s="4" t="inlineStr">
        <is>
          <t>L/D：</t>
        </is>
      </c>
      <c r="V81" s="4" t="inlineStr">
        <is>
          <t>3L250830</t>
        </is>
      </c>
      <c r="W81" s="4" t="inlineStr">
        <is>
          <t>PE：</t>
        </is>
      </c>
      <c r="X81" s="5" t="inlineStr">
        <is>
          <t>PE260420</t>
        </is>
      </c>
      <c r="Y81" s="4" t="inlineStr">
        <is>
          <t>誕生月：</t>
        </is>
      </c>
      <c r="Z81" s="4" t="inlineStr">
        <is>
          <t>06</t>
        </is>
      </c>
      <c r="AA81" s="6" t="inlineStr">
        <is>
          <t>電話：</t>
        </is>
      </c>
      <c r="AB81" s="6" t="inlineStr">
        <is>
          <t>090-7421-9722</t>
        </is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>
        <is>
          <t>NTW002</t>
        </is>
      </c>
    </row>
    <row r="82">
      <c r="A82" s="1" t="inlineStr">
        <is>
          <t>37755-2</t>
        </is>
      </c>
      <c r="B82" s="1" t="inlineStr">
        <is>
          <t>KITAMURA YA</t>
        </is>
      </c>
      <c r="C82" s="1" t="inlineStr"/>
      <c r="D82" s="1" t="inlineStr">
        <is>
          <t>NTW002</t>
        </is>
      </c>
      <c r="E82" s="1" t="n"/>
      <c r="F82" s="7" t="inlineStr">
        <is>
          <t>01</t>
        </is>
      </c>
      <c r="G82" s="7" t="inlineStr">
        <is>
          <t>02</t>
        </is>
      </c>
      <c r="H82" s="7" t="inlineStr">
        <is>
          <t>03</t>
        </is>
      </c>
      <c r="I82" s="7" t="inlineStr">
        <is>
          <t>04</t>
        </is>
      </c>
      <c r="J82" s="7" t="inlineStr">
        <is>
          <t>05</t>
        </is>
      </c>
      <c r="K82" s="7" t="inlineStr">
        <is>
          <t>06</t>
        </is>
      </c>
      <c r="L82" s="7" t="inlineStr">
        <is>
          <t>07</t>
        </is>
      </c>
      <c r="M82" s="7" t="inlineStr">
        <is>
          <t>08</t>
        </is>
      </c>
      <c r="N82" s="7" t="inlineStr">
        <is>
          <t>09</t>
        </is>
      </c>
      <c r="O82" s="7" t="inlineStr">
        <is>
          <t>10</t>
        </is>
      </c>
      <c r="P82" s="7" t="inlineStr">
        <is>
          <t>11</t>
        </is>
      </c>
      <c r="Q82" s="7" t="inlineStr">
        <is>
          <t>12</t>
        </is>
      </c>
      <c r="R82" s="7" t="inlineStr">
        <is>
          <t>13</t>
        </is>
      </c>
      <c r="S82" s="7" t="inlineStr">
        <is>
          <t>14</t>
        </is>
      </c>
      <c r="T82" s="7" t="inlineStr">
        <is>
          <t>15</t>
        </is>
      </c>
      <c r="U82" s="10" t="inlineStr">
        <is>
          <t>16</t>
        </is>
      </c>
      <c r="V82" s="7" t="inlineStr">
        <is>
          <t>17</t>
        </is>
      </c>
      <c r="W82" s="7" t="inlineStr">
        <is>
          <t>18</t>
        </is>
      </c>
      <c r="X82" s="7" t="inlineStr">
        <is>
          <t>19</t>
        </is>
      </c>
      <c r="Y82" s="7" t="inlineStr">
        <is>
          <t>20</t>
        </is>
      </c>
      <c r="Z82" s="7" t="inlineStr">
        <is>
          <t>21</t>
        </is>
      </c>
      <c r="AA82" s="7" t="inlineStr">
        <is>
          <t>22</t>
        </is>
      </c>
      <c r="AB82" s="8" t="inlineStr">
        <is>
          <t>23</t>
        </is>
      </c>
      <c r="AC82" s="7" t="inlineStr">
        <is>
          <t>24</t>
        </is>
      </c>
      <c r="AD82" s="8" t="inlineStr">
        <is>
          <t>25</t>
        </is>
      </c>
      <c r="AE82" s="7" t="inlineStr">
        <is>
          <t>26</t>
        </is>
      </c>
      <c r="AF82" s="8" t="inlineStr">
        <is>
          <t>27</t>
        </is>
      </c>
      <c r="AG82" s="8" t="inlineStr">
        <is>
          <t>28</t>
        </is>
      </c>
      <c r="AH82" s="7" t="inlineStr">
        <is>
          <t>29</t>
        </is>
      </c>
      <c r="AI82" s="7" t="inlineStr">
        <is>
          <t>30</t>
        </is>
      </c>
      <c r="AJ82" s="7" t="inlineStr">
        <is>
          <t>31</t>
        </is>
      </c>
    </row>
    <row r="83">
      <c r="A83" s="1" t="inlineStr">
        <is>
          <t>37755-3</t>
        </is>
      </c>
      <c r="B83" s="1" t="inlineStr">
        <is>
          <t>KITAMURA YA</t>
        </is>
      </c>
      <c r="C83" s="1" t="inlineStr"/>
      <c r="D83" s="1" t="inlineStr">
        <is>
          <t>NTW002</t>
        </is>
      </c>
      <c r="E83" s="1" t="n"/>
      <c r="F83" s="9" t="inlineStr">
        <is>
          <t>NTW1</t>
        </is>
      </c>
      <c r="G83" s="9" t="inlineStr">
        <is>
          <t>62</t>
        </is>
      </c>
      <c r="H83" s="9" t="inlineStr">
        <is>
          <t>---</t>
        </is>
      </c>
      <c r="I83" s="9" t="inlineStr">
        <is>
          <t>---</t>
        </is>
      </c>
      <c r="J83" s="9" t="inlineStr">
        <is>
          <t>61</t>
        </is>
      </c>
      <c r="K83" s="9" t="inlineStr">
        <is>
          <t>*H</t>
        </is>
      </c>
      <c r="L83" s="9" t="inlineStr">
        <is>
          <t>*H</t>
        </is>
      </c>
      <c r="M83" s="9" t="inlineStr">
        <is>
          <t>*H</t>
        </is>
      </c>
      <c r="N83" s="9" t="inlineStr">
        <is>
          <t>ISR
ISR
#1
15:00-19:00</t>
        </is>
      </c>
      <c r="O83" s="9" t="inlineStr">
        <is>
          <t>753</t>
        </is>
      </c>
      <c r="P83" s="9" t="inlineStr">
        <is>
          <t>---</t>
        </is>
      </c>
      <c r="Q83" s="9" t="inlineStr">
        <is>
          <t>754</t>
        </is>
      </c>
      <c r="R83" s="9" t="inlineStr">
        <is>
          <t>*H</t>
        </is>
      </c>
      <c r="S83" s="9" t="inlineStr">
        <is>
          <t>*H</t>
        </is>
      </c>
      <c r="T83" s="9" t="inlineStr">
        <is>
          <t>MTG1</t>
        </is>
      </c>
      <c r="U83" s="9" t="inlineStr">
        <is>
          <t>M21
ISR
#2
11:00-15:00</t>
        </is>
      </c>
      <c r="V83" s="9" t="inlineStr">
        <is>
          <t>H</t>
        </is>
      </c>
      <c r="W83" s="9" t="inlineStr">
        <is>
          <t>H</t>
        </is>
      </c>
      <c r="X83" s="9" t="inlineStr">
        <is>
          <t>CMD
ISR</t>
        </is>
      </c>
      <c r="Y83" s="9" t="inlineStr">
        <is>
          <t>MTG1</t>
        </is>
      </c>
      <c r="Z83" s="9" t="inlineStr">
        <is>
          <t>R</t>
        </is>
      </c>
      <c r="AA83" s="9" t="inlineStr">
        <is>
          <t>HH</t>
        </is>
      </c>
      <c r="AB83" s="9" t="inlineStr">
        <is>
          <t>745
FOTR ISR</t>
        </is>
      </c>
      <c r="AC83" s="9" t="inlineStr">
        <is>
          <t>---</t>
        </is>
      </c>
      <c r="AD83" s="9" t="inlineStr">
        <is>
          <t>78
FOTR ISR</t>
        </is>
      </c>
      <c r="AE83" s="9" t="inlineStr">
        <is>
          <t>HH</t>
        </is>
      </c>
      <c r="AF83" s="9" t="inlineStr">
        <is>
          <t>119
VLDE ISR
124
VLDE ISR
139
VLDE ISR</t>
        </is>
      </c>
      <c r="AG83" s="9" t="inlineStr">
        <is>
          <t>116
VLDE ISR
125
VLDE ISR
128
VLDE ISR</t>
        </is>
      </c>
      <c r="AH83" s="9" t="inlineStr">
        <is>
          <t>GMT1</t>
        </is>
      </c>
      <c r="AI83" s="9" t="inlineStr">
        <is>
          <t>H</t>
        </is>
      </c>
      <c r="AJ83" s="9" t="inlineStr">
        <is>
          <t>R</t>
        </is>
      </c>
    </row>
    <row r="84">
      <c r="A84" s="1" t="inlineStr">
        <is>
          <t>37755-4</t>
        </is>
      </c>
      <c r="B84" s="1" t="inlineStr">
        <is>
          <t>KITAMURA YA</t>
        </is>
      </c>
      <c r="C84" s="1" t="inlineStr"/>
      <c r="D84" s="1" t="inlineStr">
        <is>
          <t>NTW002</t>
        </is>
      </c>
      <c r="E84" s="1" t="n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>
        <is>
          <t>I内田 KE</t>
        </is>
      </c>
      <c r="O84" s="9">
        <f>HYPERLINK("#Schedule!F295", "KAWAIMS (49375)")</f>
        <v/>
      </c>
      <c r="P84" s="9" t="inlineStr"/>
      <c r="Q84" s="9">
        <f>HYPERLINK("#Schedule!F295", "KAWAIMS (49375)")</f>
        <v/>
      </c>
      <c r="R84" s="9" t="inlineStr"/>
      <c r="S84" s="9" t="inlineStr"/>
      <c r="T84" s="9" t="inlineStr"/>
      <c r="U84" s="9">
        <f>HYPERLINK("#Schedule!F19", "I崎濱SH (36186)")</f>
        <v/>
      </c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>
        <is>
          <t>ITOHH</t>
        </is>
      </c>
      <c r="AG84" s="9" t="inlineStr">
        <is>
          <t>ITOHH</t>
        </is>
      </c>
      <c r="AH84" s="9" t="inlineStr"/>
      <c r="AI84" s="9" t="inlineStr"/>
      <c r="AJ84" s="9" t="inlineStr"/>
    </row>
    <row r="85">
      <c r="A85" s="1" t="inlineStr">
        <is>
          <t>37755-5</t>
        </is>
      </c>
      <c r="B85" s="1" t="inlineStr">
        <is>
          <t>KITAMURA YA</t>
        </is>
      </c>
      <c r="C85" s="1" t="inlineStr"/>
      <c r="D85" s="1" t="inlineStr">
        <is>
          <t>NTW002</t>
        </is>
      </c>
      <c r="E85" s="1" t="n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>
        <f>HYPERLINK("#Schedule!F147", "I吉村MA (39670)")</f>
        <v/>
      </c>
      <c r="O85" s="9" t="inlineStr"/>
      <c r="P85" s="9" t="inlineStr"/>
      <c r="Q85" s="9" t="inlineStr"/>
      <c r="R85" s="9" t="inlineStr"/>
      <c r="S85" s="9" t="inlineStr"/>
      <c r="T85" s="9" t="inlineStr"/>
      <c r="U85" s="9">
        <f>HYPERLINK("#Schedule!F269", "T永澤 TA (49245)")</f>
        <v/>
      </c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</row>
    <row r="86">
      <c r="A86" s="1" t="inlineStr">
        <is>
          <t>38560-1</t>
        </is>
      </c>
      <c r="B86" s="1" t="inlineStr">
        <is>
          <t>KANAZAWA RY</t>
        </is>
      </c>
      <c r="C86" s="1" t="inlineStr"/>
      <c r="D86" s="1" t="inlineStr">
        <is>
          <t>NTW002</t>
        </is>
      </c>
      <c r="E86" s="1" t="n"/>
      <c r="F86" s="4" t="inlineStr">
        <is>
          <t>金澤 RY</t>
        </is>
      </c>
      <c r="G86" s="4" t="inlineStr">
        <is>
          <t>RY</t>
        </is>
      </c>
      <c r="H86" s="4" t="inlineStr">
        <is>
          <t>機種：</t>
        </is>
      </c>
      <c r="I86" s="4" t="inlineStr">
        <is>
          <t>787</t>
        </is>
      </c>
      <c r="J86" s="4" t="inlineStr">
        <is>
          <t>ランク：</t>
        </is>
      </c>
      <c r="K86" s="4" t="inlineStr">
        <is>
          <t>CAP</t>
        </is>
      </c>
      <c r="L86" s="4" t="inlineStr">
        <is>
          <t>期：</t>
        </is>
      </c>
      <c r="M86" s="4" t="inlineStr">
        <is>
          <t>職番：</t>
        </is>
      </c>
      <c r="N86" s="4" t="inlineStr">
        <is>
          <t>00038560</t>
        </is>
      </c>
      <c r="O86" s="4" t="inlineStr">
        <is>
          <t>所属：</t>
        </is>
      </c>
      <c r="P86" s="4" t="inlineStr">
        <is>
          <t>NTZNT</t>
        </is>
      </c>
      <c r="Q86" s="4" t="inlineStr">
        <is>
          <t>CAT資：</t>
        </is>
      </c>
      <c r="R86" s="4" t="inlineStr">
        <is>
          <t>CAT3</t>
        </is>
      </c>
      <c r="S86" s="4" t="inlineStr">
        <is>
          <t>T/O：</t>
        </is>
      </c>
      <c r="T86" s="4" t="inlineStr">
        <is>
          <t>3T250916</t>
        </is>
      </c>
      <c r="U86" s="4" t="inlineStr">
        <is>
          <t>L/D：</t>
        </is>
      </c>
      <c r="V86" s="4" t="inlineStr">
        <is>
          <t>3L250916</t>
        </is>
      </c>
      <c r="W86" s="4" t="inlineStr">
        <is>
          <t>PE：</t>
        </is>
      </c>
      <c r="X86" s="5" t="inlineStr">
        <is>
          <t>PE260420</t>
        </is>
      </c>
      <c r="Y86" s="4" t="inlineStr">
        <is>
          <t>誕生月：</t>
        </is>
      </c>
      <c r="Z86" s="4" t="inlineStr">
        <is>
          <t>05</t>
        </is>
      </c>
      <c r="AA86" s="6" t="inlineStr">
        <is>
          <t>電話：</t>
        </is>
      </c>
      <c r="AB86" s="6" t="inlineStr">
        <is>
          <t>03-3305-2232</t>
        </is>
      </c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>
        <is>
          <t>NTW002</t>
        </is>
      </c>
    </row>
    <row r="87">
      <c r="A87" s="1" t="inlineStr">
        <is>
          <t>38560-2</t>
        </is>
      </c>
      <c r="B87" s="1" t="inlineStr">
        <is>
          <t>KANAZAWA RY</t>
        </is>
      </c>
      <c r="C87" s="1" t="inlineStr"/>
      <c r="D87" s="1" t="inlineStr">
        <is>
          <t>NTW002</t>
        </is>
      </c>
      <c r="E87" s="1" t="n"/>
      <c r="F87" s="7" t="inlineStr">
        <is>
          <t>01</t>
        </is>
      </c>
      <c r="G87" s="7" t="inlineStr">
        <is>
          <t>02</t>
        </is>
      </c>
      <c r="H87" s="7" t="inlineStr">
        <is>
          <t>03</t>
        </is>
      </c>
      <c r="I87" s="7" t="inlineStr">
        <is>
          <t>04</t>
        </is>
      </c>
      <c r="J87" s="7" t="inlineStr">
        <is>
          <t>05</t>
        </is>
      </c>
      <c r="K87" s="7" t="inlineStr">
        <is>
          <t>06</t>
        </is>
      </c>
      <c r="L87" s="8" t="inlineStr">
        <is>
          <t>07</t>
        </is>
      </c>
      <c r="M87" s="7" t="inlineStr">
        <is>
          <t>08</t>
        </is>
      </c>
      <c r="N87" s="8" t="inlineStr">
        <is>
          <t>09</t>
        </is>
      </c>
      <c r="O87" s="7" t="inlineStr">
        <is>
          <t>10</t>
        </is>
      </c>
      <c r="P87" s="7" t="inlineStr">
        <is>
          <t>11</t>
        </is>
      </c>
      <c r="Q87" s="8" t="inlineStr">
        <is>
          <t>12</t>
        </is>
      </c>
      <c r="R87" s="7" t="inlineStr">
        <is>
          <t>13</t>
        </is>
      </c>
      <c r="S87" s="8" t="inlineStr">
        <is>
          <t>14</t>
        </is>
      </c>
      <c r="T87" s="7" t="inlineStr">
        <is>
          <t>15</t>
        </is>
      </c>
      <c r="U87" s="8" t="inlineStr">
        <is>
          <t>16</t>
        </is>
      </c>
      <c r="V87" s="7" t="inlineStr">
        <is>
          <t>17</t>
        </is>
      </c>
      <c r="W87" s="8" t="inlineStr">
        <is>
          <t>18</t>
        </is>
      </c>
      <c r="X87" s="7" t="inlineStr">
        <is>
          <t>19</t>
        </is>
      </c>
      <c r="Y87" s="7" t="inlineStr">
        <is>
          <t>20</t>
        </is>
      </c>
      <c r="Z87" s="7" t="inlineStr">
        <is>
          <t>21</t>
        </is>
      </c>
      <c r="AA87" s="7" t="inlineStr">
        <is>
          <t>22</t>
        </is>
      </c>
      <c r="AB87" s="7" t="inlineStr">
        <is>
          <t>23</t>
        </is>
      </c>
      <c r="AC87" s="8" t="inlineStr">
        <is>
          <t>24</t>
        </is>
      </c>
      <c r="AD87" s="8" t="inlineStr">
        <is>
          <t>25</t>
        </is>
      </c>
      <c r="AE87" s="7" t="inlineStr">
        <is>
          <t>26</t>
        </is>
      </c>
      <c r="AF87" s="7" t="inlineStr">
        <is>
          <t>27</t>
        </is>
      </c>
      <c r="AG87" s="7" t="inlineStr">
        <is>
          <t>28</t>
        </is>
      </c>
      <c r="AH87" s="7" t="inlineStr">
        <is>
          <t>29</t>
        </is>
      </c>
      <c r="AI87" s="8" t="inlineStr">
        <is>
          <t>30</t>
        </is>
      </c>
      <c r="AJ87" s="7" t="inlineStr">
        <is>
          <t>31</t>
        </is>
      </c>
    </row>
    <row r="88">
      <c r="A88" s="1" t="inlineStr">
        <is>
          <t>38560-3</t>
        </is>
      </c>
      <c r="B88" s="1" t="inlineStr">
        <is>
          <t>KANAZAWA RY</t>
        </is>
      </c>
      <c r="C88" s="1" t="inlineStr"/>
      <c r="D88" s="1" t="inlineStr">
        <is>
          <t>NTW002</t>
        </is>
      </c>
      <c r="E88" s="1" t="n"/>
      <c r="F88" s="9" t="inlineStr">
        <is>
          <t>754</t>
        </is>
      </c>
      <c r="G88" s="9" t="inlineStr">
        <is>
          <t>*H</t>
        </is>
      </c>
      <c r="H88" s="9" t="inlineStr">
        <is>
          <t>*H</t>
        </is>
      </c>
      <c r="I88" s="9" t="inlineStr">
        <is>
          <t>H</t>
        </is>
      </c>
      <c r="J88" s="9" t="inlineStr">
        <is>
          <t>CMD
ISR
#2
09:00-11:00</t>
        </is>
      </c>
      <c r="K88" s="9" t="inlineStr">
        <is>
          <t>H</t>
        </is>
      </c>
      <c r="L88" s="9" t="inlineStr">
        <is>
          <t>74
VLDP ISR</t>
        </is>
      </c>
      <c r="M88" s="9" t="inlineStr">
        <is>
          <t>---</t>
        </is>
      </c>
      <c r="N88" s="9" t="inlineStr">
        <is>
          <t>73
VLDP ISR</t>
        </is>
      </c>
      <c r="O88" s="9" t="inlineStr">
        <is>
          <t>H</t>
        </is>
      </c>
      <c r="P88" s="9" t="inlineStr">
        <is>
          <t>*H</t>
        </is>
      </c>
      <c r="Q88" s="9" t="inlineStr">
        <is>
          <t>91
VLDP ISR
92
VLDP ISR</t>
        </is>
      </c>
      <c r="R88" s="9" t="inlineStr">
        <is>
          <t>S05</t>
        </is>
      </c>
      <c r="S88" s="9" t="inlineStr">
        <is>
          <t>707
CFM ISR</t>
        </is>
      </c>
      <c r="T88" s="9" t="inlineStr">
        <is>
          <t>---</t>
        </is>
      </c>
      <c r="U88" s="9" t="inlineStr">
        <is>
          <t>728
CFM ISR
224DH</t>
        </is>
      </c>
      <c r="V88" s="9" t="inlineStr">
        <is>
          <t>H</t>
        </is>
      </c>
      <c r="W88" s="9" t="inlineStr">
        <is>
          <t>23
CAUG ISR
24
CAUG ISR</t>
        </is>
      </c>
      <c r="X88" s="9" t="inlineStr">
        <is>
          <t>R</t>
        </is>
      </c>
      <c r="Y88" s="9" t="inlineStr">
        <is>
          <t>MTG1</t>
        </is>
      </c>
      <c r="Z88" s="9" t="inlineStr">
        <is>
          <t>MTG1</t>
        </is>
      </c>
      <c r="AA88" s="9" t="inlineStr">
        <is>
          <t>HH</t>
        </is>
      </c>
      <c r="AB88" s="9" t="inlineStr">
        <is>
          <t>HH</t>
        </is>
      </c>
      <c r="AC88" s="9" t="inlineStr">
        <is>
          <t>119
RMD ISR
124
RMD ISR
139
RMD ISR</t>
        </is>
      </c>
      <c r="AD88" s="9" t="inlineStr">
        <is>
          <t>116
RMD ISR
125
RMD ISR
128
RMD ISR</t>
        </is>
      </c>
      <c r="AE88" s="9" t="inlineStr">
        <is>
          <t>H</t>
        </is>
      </c>
      <c r="AF88" s="9" t="inlineStr">
        <is>
          <t>R_</t>
        </is>
      </c>
      <c r="AG88" s="9" t="inlineStr">
        <is>
          <t>R</t>
        </is>
      </c>
      <c r="AH88" s="9" t="inlineStr">
        <is>
          <t>GMT1</t>
        </is>
      </c>
      <c r="AI88" s="9" t="inlineStr">
        <is>
          <t>72
VLDE ISR</t>
        </is>
      </c>
      <c r="AJ88" s="9" t="inlineStr">
        <is>
          <t>---</t>
        </is>
      </c>
    </row>
    <row r="89">
      <c r="A89" s="1" t="inlineStr">
        <is>
          <t>38560-4</t>
        </is>
      </c>
      <c r="B89" s="1" t="inlineStr">
        <is>
          <t>KANAZAWA RY</t>
        </is>
      </c>
      <c r="C89" s="1" t="inlineStr"/>
      <c r="D89" s="1" t="inlineStr">
        <is>
          <t>NTW002</t>
        </is>
      </c>
      <c r="E89" s="1" t="n"/>
      <c r="F89" s="9" t="inlineStr"/>
      <c r="G89" s="9" t="inlineStr"/>
      <c r="H89" s="9" t="inlineStr"/>
      <c r="I89" s="9" t="inlineStr"/>
      <c r="J89" s="9" t="inlineStr"/>
      <c r="K89" s="9" t="inlineStr"/>
      <c r="L89" s="9">
        <f>HYPERLINK("#Schedule!F398", "UMEMIYAMA (53878)")</f>
        <v/>
      </c>
      <c r="M89" s="9" t="inlineStr"/>
      <c r="N89" s="9">
        <f>HYPERLINK("#Schedule!F398", "UMEMIYAMA (53878)")</f>
        <v/>
      </c>
      <c r="O89" s="9" t="inlineStr"/>
      <c r="P89" s="9" t="inlineStr"/>
      <c r="Q89" s="9">
        <f>HYPERLINK("#Schedule!F398", "UMEMIYAMA (53878)")</f>
        <v/>
      </c>
      <c r="R89" s="9" t="inlineStr"/>
      <c r="S89" s="9" t="inlineStr"/>
      <c r="T89" s="9" t="inlineStr"/>
      <c r="U89" s="9" t="inlineStr"/>
      <c r="V89" s="9" t="inlineStr"/>
      <c r="W89" s="9">
        <f>HYPERLINK("#Schedule!F374", "NAKAITO (53882)")</f>
        <v/>
      </c>
      <c r="X89" s="9" t="inlineStr"/>
      <c r="Y89" s="9" t="inlineStr"/>
      <c r="Z89" s="9" t="inlineStr"/>
      <c r="AA89" s="9" t="inlineStr"/>
      <c r="AB89" s="9" t="inlineStr"/>
      <c r="AC89" s="9">
        <f>HYPERLINK("#Schedule!F299", "OZAWAKO (41266)")</f>
        <v/>
      </c>
      <c r="AD89" s="9">
        <f>HYPERLINK("#Schedule!F299", "OZAWAKO (41266)")</f>
        <v/>
      </c>
      <c r="AE89" s="9" t="inlineStr"/>
      <c r="AF89" s="9" t="inlineStr"/>
      <c r="AG89" s="9" t="inlineStr"/>
      <c r="AH89" s="9" t="inlineStr"/>
      <c r="AI89" s="9" t="inlineStr">
        <is>
          <t>TOYODAJU</t>
        </is>
      </c>
      <c r="AJ89" s="9" t="inlineStr"/>
    </row>
    <row r="90">
      <c r="A90" s="1" t="inlineStr">
        <is>
          <t>39361-1</t>
        </is>
      </c>
      <c r="B90" s="1" t="inlineStr">
        <is>
          <t>NISHINO HI</t>
        </is>
      </c>
      <c r="C90" s="1" t="inlineStr"/>
      <c r="D90" s="1" t="inlineStr">
        <is>
          <t>NTW002</t>
        </is>
      </c>
      <c r="E90" s="1" t="n"/>
      <c r="F90" s="4" t="inlineStr">
        <is>
          <t>西野 HI</t>
        </is>
      </c>
      <c r="G90" s="4" t="inlineStr">
        <is>
          <t>HI</t>
        </is>
      </c>
      <c r="H90" s="4" t="inlineStr">
        <is>
          <t>機種：</t>
        </is>
      </c>
      <c r="I90" s="4" t="inlineStr">
        <is>
          <t>787</t>
        </is>
      </c>
      <c r="J90" s="4" t="inlineStr">
        <is>
          <t>ランク：</t>
        </is>
      </c>
      <c r="K90" s="4" t="inlineStr">
        <is>
          <t>CAP</t>
        </is>
      </c>
      <c r="L90" s="4" t="inlineStr">
        <is>
          <t>期：</t>
        </is>
      </c>
      <c r="M90" s="4" t="inlineStr">
        <is>
          <t>職番：</t>
        </is>
      </c>
      <c r="N90" s="4" t="inlineStr">
        <is>
          <t>00039361</t>
        </is>
      </c>
      <c r="O90" s="4" t="inlineStr">
        <is>
          <t>所属：</t>
        </is>
      </c>
      <c r="P90" s="4" t="inlineStr">
        <is>
          <t>NTZNT</t>
        </is>
      </c>
      <c r="Q90" s="4" t="inlineStr">
        <is>
          <t>CAT資：</t>
        </is>
      </c>
      <c r="R90" s="4" t="inlineStr">
        <is>
          <t>CAT3</t>
        </is>
      </c>
      <c r="S90" s="4" t="inlineStr">
        <is>
          <t>T/O：</t>
        </is>
      </c>
      <c r="T90" s="4" t="inlineStr">
        <is>
          <t>3T250918</t>
        </is>
      </c>
      <c r="U90" s="4" t="inlineStr">
        <is>
          <t>L/D：</t>
        </is>
      </c>
      <c r="V90" s="4" t="inlineStr">
        <is>
          <t>3L250919</t>
        </is>
      </c>
      <c r="W90" s="4" t="inlineStr">
        <is>
          <t>PE：</t>
        </is>
      </c>
      <c r="X90" s="5" t="inlineStr">
        <is>
          <t>PE260712</t>
        </is>
      </c>
      <c r="Y90" s="4" t="inlineStr">
        <is>
          <t>誕生月：</t>
        </is>
      </c>
      <c r="Z90" s="4" t="inlineStr">
        <is>
          <t>07</t>
        </is>
      </c>
      <c r="AA90" s="6" t="inlineStr">
        <is>
          <t>電話：</t>
        </is>
      </c>
      <c r="AB90" s="6" t="inlineStr">
        <is>
          <t>045-681-3689</t>
        </is>
      </c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>
        <is>
          <t>NTW002</t>
        </is>
      </c>
    </row>
    <row r="91">
      <c r="A91" s="1" t="inlineStr">
        <is>
          <t>39361-2</t>
        </is>
      </c>
      <c r="B91" s="1" t="inlineStr">
        <is>
          <t>NISHINO HI</t>
        </is>
      </c>
      <c r="C91" s="1" t="inlineStr"/>
      <c r="D91" s="1" t="inlineStr">
        <is>
          <t>NTW002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8" t="inlineStr">
        <is>
          <t>04</t>
        </is>
      </c>
      <c r="J91" s="8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7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7" t="inlineStr">
        <is>
          <t>15</t>
        </is>
      </c>
      <c r="U91" s="7" t="inlineStr">
        <is>
          <t>16</t>
        </is>
      </c>
      <c r="V91" s="8" t="inlineStr">
        <is>
          <t>17</t>
        </is>
      </c>
      <c r="W91" s="7" t="inlineStr">
        <is>
          <t>18</t>
        </is>
      </c>
      <c r="X91" s="8" t="inlineStr">
        <is>
          <t>19</t>
        </is>
      </c>
      <c r="Y91" s="7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7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7" t="inlineStr">
        <is>
          <t>28</t>
        </is>
      </c>
      <c r="AH91" s="7" t="inlineStr">
        <is>
          <t>29</t>
        </is>
      </c>
      <c r="AI91" s="7" t="inlineStr">
        <is>
          <t>30</t>
        </is>
      </c>
      <c r="AJ91" s="7" t="inlineStr">
        <is>
          <t>31</t>
        </is>
      </c>
    </row>
    <row r="92">
      <c r="A92" s="1" t="inlineStr">
        <is>
          <t>39361-3</t>
        </is>
      </c>
      <c r="B92" s="1" t="inlineStr">
        <is>
          <t>NISHINO HI</t>
        </is>
      </c>
      <c r="C92" s="1" t="inlineStr"/>
      <c r="D92" s="1" t="inlineStr">
        <is>
          <t>NTW002</t>
        </is>
      </c>
      <c r="E92" s="1" t="n"/>
      <c r="F92" s="9" t="inlineStr">
        <is>
          <t>BLK</t>
        </is>
      </c>
      <c r="G92" s="9" t="inlineStr">
        <is>
          <t>H</t>
        </is>
      </c>
      <c r="H92" s="9" t="inlineStr">
        <is>
          <t>MIDNIT</t>
        </is>
      </c>
      <c r="I92" s="9" t="inlineStr">
        <is>
          <t>77
CMD ISR</t>
        </is>
      </c>
      <c r="J92" s="9" t="inlineStr">
        <is>
          <t>746
CMD ISR</t>
        </is>
      </c>
      <c r="K92" s="9" t="inlineStr">
        <is>
          <t>HH</t>
        </is>
      </c>
      <c r="L92" s="9" t="inlineStr">
        <is>
          <t>HH</t>
        </is>
      </c>
      <c r="M92" s="9" t="inlineStr">
        <is>
          <t>H/VAC</t>
        </is>
      </c>
      <c r="N92" s="9" t="inlineStr">
        <is>
          <t>H*/VAC</t>
        </is>
      </c>
      <c r="O92" s="9" t="inlineStr">
        <is>
          <t>VAC</t>
        </is>
      </c>
      <c r="P92" s="9" t="inlineStr">
        <is>
          <t>773</t>
        </is>
      </c>
      <c r="Q92" s="9" t="inlineStr">
        <is>
          <t>---</t>
        </is>
      </c>
      <c r="R92" s="9" t="inlineStr">
        <is>
          <t>---</t>
        </is>
      </c>
      <c r="S92" s="9" t="inlineStr">
        <is>
          <t>774</t>
        </is>
      </c>
      <c r="T92" s="9" t="inlineStr">
        <is>
          <t>H</t>
        </is>
      </c>
      <c r="U92" s="9" t="inlineStr">
        <is>
          <t>H</t>
        </is>
      </c>
      <c r="V92" s="9" t="inlineStr">
        <is>
          <t>745
CMD ISR</t>
        </is>
      </c>
      <c r="W92" s="9" t="inlineStr">
        <is>
          <t>---</t>
        </is>
      </c>
      <c r="X92" s="9" t="inlineStr">
        <is>
          <t>78
CMD ISR</t>
        </is>
      </c>
      <c r="Y92" s="9" t="inlineStr">
        <is>
          <t>H/VAC</t>
        </is>
      </c>
      <c r="Z92" s="9" t="inlineStr">
        <is>
          <t>59</t>
        </is>
      </c>
      <c r="AA92" s="9" t="inlineStr">
        <is>
          <t>---</t>
        </is>
      </c>
      <c r="AB92" s="9" t="inlineStr">
        <is>
          <t>---</t>
        </is>
      </c>
      <c r="AC92" s="9" t="inlineStr">
        <is>
          <t>---</t>
        </is>
      </c>
      <c r="AD92" s="9" t="inlineStr">
        <is>
          <t>50</t>
        </is>
      </c>
      <c r="AE92" s="9" t="inlineStr">
        <is>
          <t>H/VAC</t>
        </is>
      </c>
      <c r="AF92" s="9" t="inlineStr">
        <is>
          <t>H/VAC</t>
        </is>
      </c>
      <c r="AG92" s="9" t="inlineStr">
        <is>
          <t>H</t>
        </is>
      </c>
      <c r="AH92" s="9" t="inlineStr">
        <is>
          <t>GMT1</t>
        </is>
      </c>
      <c r="AI92" s="9" t="inlineStr">
        <is>
          <t>18</t>
        </is>
      </c>
      <c r="AJ92" s="9" t="inlineStr">
        <is>
          <t>---</t>
        </is>
      </c>
    </row>
    <row r="93">
      <c r="A93" s="1" t="inlineStr">
        <is>
          <t>39361-4</t>
        </is>
      </c>
      <c r="B93" s="1" t="inlineStr">
        <is>
          <t>NISHINO HI</t>
        </is>
      </c>
      <c r="C93" s="1" t="inlineStr"/>
      <c r="D93" s="1" t="inlineStr">
        <is>
          <t>NTW002</t>
        </is>
      </c>
      <c r="E93" s="1" t="n"/>
      <c r="F93" s="9" t="inlineStr"/>
      <c r="G93" s="9" t="inlineStr"/>
      <c r="H93" s="9" t="inlineStr"/>
      <c r="I93" s="9" t="inlineStr">
        <is>
          <t>TSUNODAAK</t>
        </is>
      </c>
      <c r="J93" s="9" t="inlineStr">
        <is>
          <t>TSUNODAAK</t>
        </is>
      </c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>
        <f>HYPERLINK("#Schedule!F437", "HAYASHIKA (48991)")</f>
        <v/>
      </c>
      <c r="W93" s="9" t="inlineStr"/>
      <c r="X93" s="9">
        <f>HYPERLINK("#Schedule!F437", "HAYASHIKA (48991)")</f>
        <v/>
      </c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>
        <f>HYPERLINK("#Schedule!F138", "安藤 YU (37725)")</f>
        <v/>
      </c>
      <c r="AJ93" s="9" t="inlineStr"/>
    </row>
    <row r="94">
      <c r="A94" s="1" t="inlineStr">
        <is>
          <t>39625-1</t>
        </is>
      </c>
      <c r="B94" s="1" t="inlineStr">
        <is>
          <t>KUBOTA AK</t>
        </is>
      </c>
      <c r="C94" s="1" t="inlineStr"/>
      <c r="D94" s="1" t="inlineStr">
        <is>
          <t>NTW002</t>
        </is>
      </c>
      <c r="E94" s="1" t="n"/>
      <c r="F94" s="4" t="inlineStr">
        <is>
          <t>久保田 AK</t>
        </is>
      </c>
      <c r="G94" s="4" t="inlineStr">
        <is>
          <t>AK</t>
        </is>
      </c>
      <c r="H94" s="4" t="inlineStr">
        <is>
          <t>機種：</t>
        </is>
      </c>
      <c r="I94" s="4" t="inlineStr">
        <is>
          <t>787</t>
        </is>
      </c>
      <c r="J94" s="4" t="inlineStr">
        <is>
          <t>ランク：</t>
        </is>
      </c>
      <c r="K94" s="4" t="inlineStr">
        <is>
          <t>CAP</t>
        </is>
      </c>
      <c r="L94" s="4" t="inlineStr">
        <is>
          <t>期：</t>
        </is>
      </c>
      <c r="M94" s="4" t="inlineStr">
        <is>
          <t>職番：</t>
        </is>
      </c>
      <c r="N94" s="4" t="inlineStr">
        <is>
          <t>00039625</t>
        </is>
      </c>
      <c r="O94" s="4" t="inlineStr">
        <is>
          <t>所属：</t>
        </is>
      </c>
      <c r="P94" s="4" t="inlineStr">
        <is>
          <t>NTZNT</t>
        </is>
      </c>
      <c r="Q94" s="4" t="inlineStr">
        <is>
          <t>CAT資：</t>
        </is>
      </c>
      <c r="R94" s="4" t="inlineStr">
        <is>
          <t>CAT3</t>
        </is>
      </c>
      <c r="S94" s="4" t="inlineStr">
        <is>
          <t>T/O：</t>
        </is>
      </c>
      <c r="T94" s="4" t="inlineStr">
        <is>
          <t>3T250930</t>
        </is>
      </c>
      <c r="U94" s="4" t="inlineStr">
        <is>
          <t>L/D：</t>
        </is>
      </c>
      <c r="V94" s="4" t="inlineStr">
        <is>
          <t>3L250930</t>
        </is>
      </c>
      <c r="W94" s="4" t="inlineStr">
        <is>
          <t>PE：</t>
        </is>
      </c>
      <c r="X94" s="5" t="inlineStr">
        <is>
          <t>PE260711</t>
        </is>
      </c>
      <c r="Y94" s="4" t="inlineStr">
        <is>
          <t>誕生月：</t>
        </is>
      </c>
      <c r="Z94" s="4" t="inlineStr">
        <is>
          <t>11</t>
        </is>
      </c>
      <c r="AA94" s="6" t="inlineStr">
        <is>
          <t>電話：</t>
        </is>
      </c>
      <c r="AB94" s="6" t="inlineStr">
        <is>
          <t>090-3439-8076</t>
        </is>
      </c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>
        <is>
          <t>NTW002</t>
        </is>
      </c>
    </row>
    <row r="95">
      <c r="A95" s="1" t="inlineStr">
        <is>
          <t>39625-2</t>
        </is>
      </c>
      <c r="B95" s="1" t="inlineStr">
        <is>
          <t>KUBOTA AK</t>
        </is>
      </c>
      <c r="C95" s="1" t="inlineStr"/>
      <c r="D95" s="1" t="inlineStr">
        <is>
          <t>NTW002</t>
        </is>
      </c>
      <c r="E95" s="1" t="n"/>
      <c r="F95" s="8" t="inlineStr">
        <is>
          <t>01</t>
        </is>
      </c>
      <c r="G95" s="7" t="inlineStr">
        <is>
          <t>02</t>
        </is>
      </c>
      <c r="H95" s="8" t="inlineStr">
        <is>
          <t>03</t>
        </is>
      </c>
      <c r="I95" s="7" t="inlineStr">
        <is>
          <t>04</t>
        </is>
      </c>
      <c r="J95" s="7" t="inlineStr">
        <is>
          <t>05</t>
        </is>
      </c>
      <c r="K95" s="7" t="inlineStr">
        <is>
          <t>06</t>
        </is>
      </c>
      <c r="L95" s="7" t="inlineStr">
        <is>
          <t>07</t>
        </is>
      </c>
      <c r="M95" s="7" t="inlineStr">
        <is>
          <t>08</t>
        </is>
      </c>
      <c r="N95" s="7" t="inlineStr">
        <is>
          <t>09</t>
        </is>
      </c>
      <c r="O95" s="7" t="inlineStr">
        <is>
          <t>10</t>
        </is>
      </c>
      <c r="P95" s="7" t="inlineStr">
        <is>
          <t>11</t>
        </is>
      </c>
      <c r="Q95" s="7" t="inlineStr">
        <is>
          <t>12</t>
        </is>
      </c>
      <c r="R95" s="7" t="inlineStr">
        <is>
          <t>13</t>
        </is>
      </c>
      <c r="S95" s="7" t="inlineStr">
        <is>
          <t>14</t>
        </is>
      </c>
      <c r="T95" s="7" t="inlineStr">
        <is>
          <t>15</t>
        </is>
      </c>
      <c r="U95" s="7" t="inlineStr">
        <is>
          <t>16</t>
        </is>
      </c>
      <c r="V95" s="7" t="inlineStr">
        <is>
          <t>17</t>
        </is>
      </c>
      <c r="W95" s="7" t="inlineStr">
        <is>
          <t>18</t>
        </is>
      </c>
      <c r="X95" s="7" t="inlineStr">
        <is>
          <t>19</t>
        </is>
      </c>
      <c r="Y95" s="7" t="inlineStr">
        <is>
          <t>20</t>
        </is>
      </c>
      <c r="Z95" s="7" t="inlineStr">
        <is>
          <t>21</t>
        </is>
      </c>
      <c r="AA95" s="7" t="inlineStr">
        <is>
          <t>22</t>
        </is>
      </c>
      <c r="AB95" s="7" t="inlineStr">
        <is>
          <t>23</t>
        </is>
      </c>
      <c r="AC95" s="8" t="inlineStr">
        <is>
          <t>24</t>
        </is>
      </c>
      <c r="AD95" s="8" t="inlineStr">
        <is>
          <t>25</t>
        </is>
      </c>
      <c r="AE95" s="7" t="inlineStr">
        <is>
          <t>26</t>
        </is>
      </c>
      <c r="AF95" s="7" t="inlineStr">
        <is>
          <t>27</t>
        </is>
      </c>
      <c r="AG95" s="7" t="inlineStr">
        <is>
          <t>28</t>
        </is>
      </c>
      <c r="AH95" s="7" t="inlineStr">
        <is>
          <t>29</t>
        </is>
      </c>
      <c r="AI95" s="7" t="inlineStr">
        <is>
          <t>30</t>
        </is>
      </c>
      <c r="AJ95" s="7" t="inlineStr">
        <is>
          <t>31</t>
        </is>
      </c>
    </row>
    <row r="96">
      <c r="A96" s="1" t="inlineStr">
        <is>
          <t>39625-3</t>
        </is>
      </c>
      <c r="B96" s="1" t="inlineStr">
        <is>
          <t>KUBOTA AK</t>
        </is>
      </c>
      <c r="C96" s="1" t="inlineStr"/>
      <c r="D96" s="1" t="inlineStr">
        <is>
          <t>NTW002</t>
        </is>
      </c>
      <c r="E96" s="1" t="n"/>
      <c r="F96" s="9" t="inlineStr">
        <is>
          <t>8786
CMD ISR</t>
        </is>
      </c>
      <c r="G96" s="9" t="inlineStr">
        <is>
          <t>---</t>
        </is>
      </c>
      <c r="H96" s="9" t="inlineStr">
        <is>
          <t>791
CMD ISR
130DH</t>
        </is>
      </c>
      <c r="I96" s="9" t="inlineStr">
        <is>
          <t>H/VAC</t>
        </is>
      </c>
      <c r="J96" s="9" t="inlineStr">
        <is>
          <t>HH</t>
        </is>
      </c>
      <c r="K96" s="9" t="inlineStr">
        <is>
          <t>VAC</t>
        </is>
      </c>
      <c r="L96" s="9" t="inlineStr">
        <is>
          <t>VAC</t>
        </is>
      </c>
      <c r="M96" s="9" t="inlineStr">
        <is>
          <t>87</t>
        </is>
      </c>
      <c r="N96" s="9" t="inlineStr">
        <is>
          <t>88</t>
        </is>
      </c>
      <c r="O96" s="9" t="inlineStr">
        <is>
          <t>H/VAC</t>
        </is>
      </c>
      <c r="P96" s="9" t="inlineStr">
        <is>
          <t>SX</t>
        </is>
      </c>
      <c r="Q96" s="9" t="inlineStr">
        <is>
          <t>51</t>
        </is>
      </c>
      <c r="R96" s="9" t="inlineStr">
        <is>
          <t>---</t>
        </is>
      </c>
      <c r="S96" s="9" t="inlineStr">
        <is>
          <t>52</t>
        </is>
      </c>
      <c r="T96" s="9" t="inlineStr">
        <is>
          <t>H/VAC</t>
        </is>
      </c>
      <c r="U96" s="9" t="inlineStr">
        <is>
          <t>H/VAC</t>
        </is>
      </c>
      <c r="V96" s="9" t="inlineStr">
        <is>
          <t>S11</t>
        </is>
      </c>
      <c r="W96" s="9" t="inlineStr">
        <is>
          <t>725</t>
        </is>
      </c>
      <c r="X96" s="9" t="inlineStr">
        <is>
          <t>---</t>
        </is>
      </c>
      <c r="Y96" s="9" t="inlineStr">
        <is>
          <t>726</t>
        </is>
      </c>
      <c r="Z96" s="9" t="inlineStr">
        <is>
          <t>H/VAC</t>
        </is>
      </c>
      <c r="AA96" s="9" t="inlineStr">
        <is>
          <t>H/VAC</t>
        </is>
      </c>
      <c r="AB96" s="9" t="inlineStr">
        <is>
          <t>221DH</t>
        </is>
      </c>
      <c r="AC96" s="9" t="inlineStr">
        <is>
          <t>727
LEF ISR</t>
        </is>
      </c>
      <c r="AD96" s="9" t="inlineStr">
        <is>
          <t>708
LEF ISR</t>
        </is>
      </c>
      <c r="AE96" s="9" t="inlineStr">
        <is>
          <t>*H</t>
        </is>
      </c>
      <c r="AF96" s="9" t="inlineStr">
        <is>
          <t>NTW1</t>
        </is>
      </c>
      <c r="AG96" s="9" t="inlineStr">
        <is>
          <t>H/VAC</t>
        </is>
      </c>
      <c r="AH96" s="9" t="inlineStr">
        <is>
          <t>GMT1</t>
        </is>
      </c>
      <c r="AI96" s="9" t="inlineStr">
        <is>
          <t>HH</t>
        </is>
      </c>
      <c r="AJ96" s="9" t="inlineStr">
        <is>
          <t>PH3
ISR</t>
        </is>
      </c>
    </row>
    <row r="97">
      <c r="A97" s="1" t="inlineStr">
        <is>
          <t>39625-4</t>
        </is>
      </c>
      <c r="B97" s="1" t="inlineStr">
        <is>
          <t>KUBOTA AK</t>
        </is>
      </c>
      <c r="C97" s="1" t="inlineStr"/>
      <c r="D97" s="1" t="inlineStr">
        <is>
          <t>NTW002</t>
        </is>
      </c>
      <c r="E97" s="1" t="n"/>
      <c r="F97" s="9">
        <f>HYPERLINK("#Schedule!F425", "KIMURAYU (53824)")</f>
        <v/>
      </c>
      <c r="G97" s="9" t="inlineStr"/>
      <c r="H97" s="9">
        <f>HYPERLINK("#Schedule!F425", "KIMURAYU (53824)")</f>
        <v/>
      </c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</row>
    <row r="98">
      <c r="A98" s="1" t="inlineStr">
        <is>
          <t>41476-1</t>
        </is>
      </c>
      <c r="B98" s="1" t="inlineStr">
        <is>
          <t>TANAKA HR</t>
        </is>
      </c>
      <c r="C98" s="1" t="inlineStr"/>
      <c r="D98" s="1" t="inlineStr">
        <is>
          <t>NTW002</t>
        </is>
      </c>
      <c r="E98" s="1" t="n"/>
      <c r="F98" s="4" t="inlineStr">
        <is>
          <t>田中 HR</t>
        </is>
      </c>
      <c r="G98" s="4" t="inlineStr">
        <is>
          <t>HR</t>
        </is>
      </c>
      <c r="H98" s="4" t="inlineStr">
        <is>
          <t>機種：</t>
        </is>
      </c>
      <c r="I98" s="4" t="inlineStr">
        <is>
          <t>787</t>
        </is>
      </c>
      <c r="J98" s="4" t="inlineStr">
        <is>
          <t>ランク：</t>
        </is>
      </c>
      <c r="K98" s="4" t="inlineStr">
        <is>
          <t>CAP</t>
        </is>
      </c>
      <c r="L98" s="4" t="inlineStr">
        <is>
          <t>期：</t>
        </is>
      </c>
      <c r="M98" s="4" t="inlineStr">
        <is>
          <t>職番：</t>
        </is>
      </c>
      <c r="N98" s="4" t="inlineStr">
        <is>
          <t>00041476</t>
        </is>
      </c>
      <c r="O98" s="4" t="inlineStr">
        <is>
          <t>所属：</t>
        </is>
      </c>
      <c r="P98" s="4" t="inlineStr">
        <is>
          <t>NTZNT</t>
        </is>
      </c>
      <c r="Q98" s="4" t="inlineStr">
        <is>
          <t>CAT資：</t>
        </is>
      </c>
      <c r="R98" s="4" t="inlineStr">
        <is>
          <t>CAT3</t>
        </is>
      </c>
      <c r="S98" s="4" t="inlineStr">
        <is>
          <t>T/O：</t>
        </is>
      </c>
      <c r="T98" s="4" t="inlineStr">
        <is>
          <t>3T251003</t>
        </is>
      </c>
      <c r="U98" s="4" t="inlineStr">
        <is>
          <t>L/D：</t>
        </is>
      </c>
      <c r="V98" s="4" t="inlineStr">
        <is>
          <t>3L251003</t>
        </is>
      </c>
      <c r="W98" s="4" t="inlineStr">
        <is>
          <t>PE：</t>
        </is>
      </c>
      <c r="X98" s="5" t="inlineStr">
        <is>
          <t>PE260509</t>
        </is>
      </c>
      <c r="Y98" s="4" t="inlineStr">
        <is>
          <t>誕生月：</t>
        </is>
      </c>
      <c r="Z98" s="4" t="inlineStr">
        <is>
          <t>07</t>
        </is>
      </c>
      <c r="AA98" s="6" t="inlineStr">
        <is>
          <t>電話：</t>
        </is>
      </c>
      <c r="AB98" s="6" t="inlineStr">
        <is>
          <t>090-8046-7361</t>
        </is>
      </c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>
        <is>
          <t>NTW002</t>
        </is>
      </c>
    </row>
    <row r="99">
      <c r="A99" s="1" t="inlineStr">
        <is>
          <t>41476-2</t>
        </is>
      </c>
      <c r="B99" s="1" t="inlineStr">
        <is>
          <t>TANAKA HR</t>
        </is>
      </c>
      <c r="C99" s="1" t="inlineStr"/>
      <c r="D99" s="1" t="inlineStr">
        <is>
          <t>NTW002</t>
        </is>
      </c>
      <c r="E99" s="1" t="n"/>
      <c r="F99" s="8" t="inlineStr">
        <is>
          <t>01</t>
        </is>
      </c>
      <c r="G99" s="7" t="inlineStr">
        <is>
          <t>02</t>
        </is>
      </c>
      <c r="H99" s="8" t="inlineStr">
        <is>
          <t>03</t>
        </is>
      </c>
      <c r="I99" s="7" t="inlineStr">
        <is>
          <t>04</t>
        </is>
      </c>
      <c r="J99" s="7" t="inlineStr">
        <is>
          <t>05</t>
        </is>
      </c>
      <c r="K99" s="7" t="inlineStr">
        <is>
          <t>06</t>
        </is>
      </c>
      <c r="L99" s="7" t="inlineStr">
        <is>
          <t>07</t>
        </is>
      </c>
      <c r="M99" s="8" t="inlineStr">
        <is>
          <t>08</t>
        </is>
      </c>
      <c r="N99" s="8" t="inlineStr">
        <is>
          <t>09</t>
        </is>
      </c>
      <c r="O99" s="7" t="inlineStr">
        <is>
          <t>10</t>
        </is>
      </c>
      <c r="P99" s="7" t="inlineStr">
        <is>
          <t>11</t>
        </is>
      </c>
      <c r="Q99" s="7" t="inlineStr">
        <is>
          <t>12</t>
        </is>
      </c>
      <c r="R99" s="7" t="inlineStr">
        <is>
          <t>13</t>
        </is>
      </c>
      <c r="S99" s="7" t="inlineStr">
        <is>
          <t>14</t>
        </is>
      </c>
      <c r="T99" s="7" t="inlineStr">
        <is>
          <t>15</t>
        </is>
      </c>
      <c r="U99" s="7" t="inlineStr">
        <is>
          <t>16</t>
        </is>
      </c>
      <c r="V99" s="8" t="inlineStr">
        <is>
          <t>17</t>
        </is>
      </c>
      <c r="W99" s="7" t="inlineStr">
        <is>
          <t>18</t>
        </is>
      </c>
      <c r="X99" s="8" t="inlineStr">
        <is>
          <t>19</t>
        </is>
      </c>
      <c r="Y99" s="7" t="inlineStr">
        <is>
          <t>20</t>
        </is>
      </c>
      <c r="Z99" s="7" t="inlineStr">
        <is>
          <t>21</t>
        </is>
      </c>
      <c r="AA99" s="8" t="inlineStr">
        <is>
          <t>22</t>
        </is>
      </c>
      <c r="AB99" s="8" t="inlineStr">
        <is>
          <t>23</t>
        </is>
      </c>
      <c r="AC99" s="7" t="inlineStr">
        <is>
          <t>24</t>
        </is>
      </c>
      <c r="AD99" s="7" t="inlineStr">
        <is>
          <t>25</t>
        </is>
      </c>
      <c r="AE99" s="7" t="inlineStr">
        <is>
          <t>26</t>
        </is>
      </c>
      <c r="AF99" s="7" t="inlineStr">
        <is>
          <t>27</t>
        </is>
      </c>
      <c r="AG99" s="7" t="inlineStr">
        <is>
          <t>28</t>
        </is>
      </c>
      <c r="AH99" s="7" t="inlineStr">
        <is>
          <t>29</t>
        </is>
      </c>
      <c r="AI99" s="7" t="inlineStr">
        <is>
          <t>30</t>
        </is>
      </c>
      <c r="AJ99" s="7" t="inlineStr">
        <is>
          <t>31</t>
        </is>
      </c>
    </row>
    <row r="100">
      <c r="A100" s="1" t="inlineStr">
        <is>
          <t>41476-3</t>
        </is>
      </c>
      <c r="B100" s="1" t="inlineStr">
        <is>
          <t>TANAKA HR</t>
        </is>
      </c>
      <c r="C100" s="1" t="inlineStr"/>
      <c r="D100" s="1" t="inlineStr">
        <is>
          <t>NTW002</t>
        </is>
      </c>
      <c r="E100" s="1" t="n"/>
      <c r="F100" s="9" t="inlineStr">
        <is>
          <t>759
CMD ISR</t>
        </is>
      </c>
      <c r="G100" s="9" t="inlineStr">
        <is>
          <t>---</t>
        </is>
      </c>
      <c r="H100" s="9" t="inlineStr">
        <is>
          <t>70
CMD ISR</t>
        </is>
      </c>
      <c r="I100" s="9" t="inlineStr">
        <is>
          <t>*H</t>
        </is>
      </c>
      <c r="J100" s="9" t="inlineStr">
        <is>
          <t>H</t>
        </is>
      </c>
      <c r="K100" s="9" t="inlineStr">
        <is>
          <t>81
82</t>
        </is>
      </c>
      <c r="L100" s="9" t="inlineStr">
        <is>
          <t>HH</t>
        </is>
      </c>
      <c r="M100" s="9" t="inlineStr">
        <is>
          <t>809
CAUG ISR</t>
        </is>
      </c>
      <c r="N100" s="9" t="inlineStr">
        <is>
          <t>802
CAUG ISR</t>
        </is>
      </c>
      <c r="O100" s="9" t="inlineStr">
        <is>
          <t>JPSP</t>
        </is>
      </c>
      <c r="P100" s="9" t="inlineStr">
        <is>
          <t>68</t>
        </is>
      </c>
      <c r="Q100" s="9" t="inlineStr">
        <is>
          <t>---</t>
        </is>
      </c>
      <c r="R100" s="9" t="inlineStr">
        <is>
          <t>67</t>
        </is>
      </c>
      <c r="S100" s="9" t="inlineStr">
        <is>
          <t>H</t>
        </is>
      </c>
      <c r="T100" s="9" t="inlineStr">
        <is>
          <t>H</t>
        </is>
      </c>
      <c r="U100" s="9" t="inlineStr">
        <is>
          <t>JPSP</t>
        </is>
      </c>
      <c r="V100" s="9" t="inlineStr">
        <is>
          <t>8786
CMD ISR</t>
        </is>
      </c>
      <c r="W100" s="9" t="inlineStr">
        <is>
          <t>---</t>
        </is>
      </c>
      <c r="X100" s="9" t="inlineStr">
        <is>
          <t>8785
CMD ISR</t>
        </is>
      </c>
      <c r="Y100" s="9" t="inlineStr">
        <is>
          <t>*H</t>
        </is>
      </c>
      <c r="Z100" s="9" t="inlineStr">
        <is>
          <t>HH</t>
        </is>
      </c>
      <c r="AA100" s="9" t="inlineStr">
        <is>
          <t>119
CMD ISR
124
CMD ISR
139
CMD ISR</t>
        </is>
      </c>
      <c r="AB100" s="9" t="inlineStr">
        <is>
          <t>116
CMD ISR
125
CMD ISR
128
CMD ISR</t>
        </is>
      </c>
      <c r="AC100" s="9" t="inlineStr">
        <is>
          <t>H</t>
        </is>
      </c>
      <c r="AD100" s="9" t="inlineStr">
        <is>
          <t>VACN</t>
        </is>
      </c>
      <c r="AE100" s="9" t="inlineStr">
        <is>
          <t>H</t>
        </is>
      </c>
      <c r="AF100" s="9" t="inlineStr">
        <is>
          <t>H</t>
        </is>
      </c>
      <c r="AG100" s="9" t="inlineStr">
        <is>
          <t>H</t>
        </is>
      </c>
      <c r="AH100" s="9" t="inlineStr">
        <is>
          <t>GMT1</t>
        </is>
      </c>
      <c r="AI100" s="9" t="inlineStr">
        <is>
          <t>753</t>
        </is>
      </c>
      <c r="AJ100" s="9" t="inlineStr">
        <is>
          <t>---</t>
        </is>
      </c>
    </row>
    <row r="101">
      <c r="A101" s="1" t="inlineStr">
        <is>
          <t>41476-4</t>
        </is>
      </c>
      <c r="B101" s="1" t="inlineStr">
        <is>
          <t>TANAKA HR</t>
        </is>
      </c>
      <c r="C101" s="1" t="inlineStr"/>
      <c r="D101" s="1" t="inlineStr">
        <is>
          <t>NTW002</t>
        </is>
      </c>
      <c r="E101" s="1" t="n"/>
      <c r="F101" s="9" t="inlineStr">
        <is>
          <t>IWASAKIKA</t>
        </is>
      </c>
      <c r="G101" s="9" t="inlineStr"/>
      <c r="H101" s="9" t="inlineStr">
        <is>
          <t>IWASAKIKA</t>
        </is>
      </c>
      <c r="I101" s="9" t="inlineStr"/>
      <c r="J101" s="9" t="inlineStr"/>
      <c r="K101" s="9" t="inlineStr"/>
      <c r="L101" s="9" t="inlineStr"/>
      <c r="M101" s="9" t="inlineStr">
        <is>
          <t>TASAKASH</t>
        </is>
      </c>
      <c r="N101" s="9" t="inlineStr">
        <is>
          <t>TASAKASH</t>
        </is>
      </c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>
        <f>HYPERLINK("#Schedule!F338", "SAITOYT (53880)")</f>
        <v/>
      </c>
      <c r="W101" s="9" t="inlineStr"/>
      <c r="X101" s="9">
        <f>HYPERLINK("#Schedule!F338", "SAITOYT (53880)")</f>
        <v/>
      </c>
      <c r="Y101" s="9" t="inlineStr"/>
      <c r="Z101" s="9" t="inlineStr"/>
      <c r="AA101" s="9">
        <f>HYPERLINK("#Schedule!F379", "SAKAKIMA (50730)")</f>
        <v/>
      </c>
      <c r="AB101" s="9">
        <f>HYPERLINK("#Schedule!F379", "SAKAKIMA (50730)")</f>
        <v/>
      </c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</row>
    <row r="102">
      <c r="A102" s="1" t="inlineStr">
        <is>
          <t>41558-1</t>
        </is>
      </c>
      <c r="B102" s="1" t="inlineStr">
        <is>
          <t>SHIMOMURA HI</t>
        </is>
      </c>
      <c r="C102" s="1" t="inlineStr"/>
      <c r="D102" s="1" t="inlineStr">
        <is>
          <t>NTW002</t>
        </is>
      </c>
      <c r="E102" s="1" t="n"/>
      <c r="F102" s="4" t="inlineStr">
        <is>
          <t>下村 HI</t>
        </is>
      </c>
      <c r="G102" s="4" t="inlineStr">
        <is>
          <t>HI</t>
        </is>
      </c>
      <c r="H102" s="4" t="inlineStr">
        <is>
          <t>機種：</t>
        </is>
      </c>
      <c r="I102" s="4" t="inlineStr">
        <is>
          <t>787</t>
        </is>
      </c>
      <c r="J102" s="4" t="inlineStr">
        <is>
          <t>ランク：</t>
        </is>
      </c>
      <c r="K102" s="4" t="inlineStr">
        <is>
          <t>CAP</t>
        </is>
      </c>
      <c r="L102" s="4" t="inlineStr">
        <is>
          <t>期：</t>
        </is>
      </c>
      <c r="M102" s="4" t="inlineStr">
        <is>
          <t>職番：</t>
        </is>
      </c>
      <c r="N102" s="4" t="inlineStr">
        <is>
          <t>00041558</t>
        </is>
      </c>
      <c r="O102" s="4" t="inlineStr">
        <is>
          <t>所属：</t>
        </is>
      </c>
      <c r="P102" s="4" t="inlineStr">
        <is>
          <t>NTZNT</t>
        </is>
      </c>
      <c r="Q102" s="4" t="inlineStr">
        <is>
          <t>CAT資：</t>
        </is>
      </c>
      <c r="R102" s="4" t="inlineStr">
        <is>
          <t>CAT3</t>
        </is>
      </c>
      <c r="S102" s="4" t="inlineStr">
        <is>
          <t>T/O：</t>
        </is>
      </c>
      <c r="T102" s="4" t="inlineStr">
        <is>
          <t>3T250930</t>
        </is>
      </c>
      <c r="U102" s="4" t="inlineStr">
        <is>
          <t>L/D：</t>
        </is>
      </c>
      <c r="V102" s="4" t="inlineStr">
        <is>
          <t>3L250930</t>
        </is>
      </c>
      <c r="W102" s="4" t="inlineStr">
        <is>
          <t>PE：</t>
        </is>
      </c>
      <c r="X102" s="5" t="inlineStr">
        <is>
          <t>PE260406</t>
        </is>
      </c>
      <c r="Y102" s="4" t="inlineStr">
        <is>
          <t>誕生月：</t>
        </is>
      </c>
      <c r="Z102" s="4" t="inlineStr">
        <is>
          <t>09</t>
        </is>
      </c>
      <c r="AA102" s="6" t="inlineStr">
        <is>
          <t>電話：</t>
        </is>
      </c>
      <c r="AB102" s="6" t="inlineStr">
        <is>
          <t>03-3755-9508</t>
        </is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>
        <is>
          <t>NTW002</t>
        </is>
      </c>
    </row>
    <row r="103">
      <c r="A103" s="1" t="inlineStr">
        <is>
          <t>41558-2</t>
        </is>
      </c>
      <c r="B103" s="1" t="inlineStr">
        <is>
          <t>SHIMOMURA HI</t>
        </is>
      </c>
      <c r="C103" s="1" t="inlineStr"/>
      <c r="D103" s="1" t="inlineStr">
        <is>
          <t>NTW002</t>
        </is>
      </c>
      <c r="E103" s="1" t="n"/>
      <c r="F103" s="7" t="inlineStr">
        <is>
          <t>01</t>
        </is>
      </c>
      <c r="G103" s="7" t="inlineStr">
        <is>
          <t>02</t>
        </is>
      </c>
      <c r="H103" s="7" t="inlineStr">
        <is>
          <t>03</t>
        </is>
      </c>
      <c r="I103" s="7" t="inlineStr">
        <is>
          <t>04</t>
        </is>
      </c>
      <c r="J103" s="7" t="inlineStr">
        <is>
          <t>05</t>
        </is>
      </c>
      <c r="K103" s="8" t="inlineStr">
        <is>
          <t>06</t>
        </is>
      </c>
      <c r="L103" s="7" t="inlineStr">
        <is>
          <t>07</t>
        </is>
      </c>
      <c r="M103" s="8" t="inlineStr">
        <is>
          <t>08</t>
        </is>
      </c>
      <c r="N103" s="7" t="inlineStr">
        <is>
          <t>09</t>
        </is>
      </c>
      <c r="O103" s="8" t="inlineStr">
        <is>
          <t>10</t>
        </is>
      </c>
      <c r="P103" s="7" t="inlineStr">
        <is>
          <t>11</t>
        </is>
      </c>
      <c r="Q103" s="8" t="inlineStr">
        <is>
          <t>12</t>
        </is>
      </c>
      <c r="R103" s="8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8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13" t="inlineStr">
        <is>
          <t>23</t>
        </is>
      </c>
      <c r="AC103" s="7" t="inlineStr">
        <is>
          <t>24</t>
        </is>
      </c>
      <c r="AD103" s="8" t="inlineStr">
        <is>
          <t>25</t>
        </is>
      </c>
      <c r="AE103" s="7" t="inlineStr">
        <is>
          <t>26</t>
        </is>
      </c>
      <c r="AF103" s="8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41558-3</t>
        </is>
      </c>
      <c r="B104" s="1" t="inlineStr">
        <is>
          <t>SHIMOMURA HI</t>
        </is>
      </c>
      <c r="C104" s="1" t="inlineStr"/>
      <c r="D104" s="1" t="inlineStr">
        <is>
          <t>NTW002</t>
        </is>
      </c>
      <c r="E104" s="1" t="n"/>
      <c r="F104" s="9" t="inlineStr">
        <is>
          <t>*H</t>
        </is>
      </c>
      <c r="G104" s="9" t="inlineStr">
        <is>
          <t>101
106
113</t>
        </is>
      </c>
      <c r="H104" s="9" t="inlineStr">
        <is>
          <t>104
111
114</t>
        </is>
      </c>
      <c r="I104" s="9" t="inlineStr">
        <is>
          <t>H</t>
        </is>
      </c>
      <c r="J104" s="9" t="inlineStr">
        <is>
          <t>H</t>
        </is>
      </c>
      <c r="K104" s="9" t="inlineStr">
        <is>
          <t>759
VLDP ISR</t>
        </is>
      </c>
      <c r="L104" s="9" t="inlineStr">
        <is>
          <t>---</t>
        </is>
      </c>
      <c r="M104" s="9" t="inlineStr">
        <is>
          <t>70
VLDP ISR</t>
        </is>
      </c>
      <c r="N104" s="9" t="inlineStr">
        <is>
          <t>HH</t>
        </is>
      </c>
      <c r="O104" s="9" t="inlineStr">
        <is>
          <t>95
VLDE ISR</t>
        </is>
      </c>
      <c r="P104" s="9" t="inlineStr">
        <is>
          <t>---</t>
        </is>
      </c>
      <c r="Q104" s="9" t="inlineStr">
        <is>
          <t>90
VLDE ISR
225DH</t>
        </is>
      </c>
      <c r="R104" s="9" t="inlineStr">
        <is>
          <t>891
VLDE ISR
894
VLDE ISR
228DH</t>
        </is>
      </c>
      <c r="S104" s="9" t="inlineStr">
        <is>
          <t>H/VAC</t>
        </is>
      </c>
      <c r="T104" s="9" t="inlineStr">
        <is>
          <t>H/VAC</t>
        </is>
      </c>
      <c r="U104" s="9" t="inlineStr">
        <is>
          <t>VAC</t>
        </is>
      </c>
      <c r="V104" s="9" t="inlineStr">
        <is>
          <t>91
VLDP ISR
92
VLDP ISR</t>
        </is>
      </c>
      <c r="W104" s="9" t="inlineStr">
        <is>
          <t>H</t>
        </is>
      </c>
      <c r="X104" s="9" t="inlineStr">
        <is>
          <t>H</t>
        </is>
      </c>
      <c r="Y104" s="9" t="inlineStr">
        <is>
          <t>MTG1</t>
        </is>
      </c>
      <c r="Z104" s="9" t="inlineStr">
        <is>
          <t>MTG1</t>
        </is>
      </c>
      <c r="AA104" s="9" t="inlineStr">
        <is>
          <t>CARF
ISR
#2
07:00-09:00</t>
        </is>
      </c>
      <c r="AB104" s="9" t="inlineStr">
        <is>
          <t>RCBT
CBT1 TRN
GS
GS-C TRN
DIT
DIT TRN</t>
        </is>
      </c>
      <c r="AC104" s="9" t="inlineStr">
        <is>
          <t>H</t>
        </is>
      </c>
      <c r="AD104" s="9" t="inlineStr">
        <is>
          <t>33
CAUG ISR</t>
        </is>
      </c>
      <c r="AE104" s="9" t="inlineStr">
        <is>
          <t>---</t>
        </is>
      </c>
      <c r="AF104" s="9" t="inlineStr">
        <is>
          <t>32
CAUG ISR</t>
        </is>
      </c>
      <c r="AG104" s="9" t="inlineStr">
        <is>
          <t>HH</t>
        </is>
      </c>
      <c r="AH104" s="9" t="inlineStr">
        <is>
          <t>GMT1</t>
        </is>
      </c>
      <c r="AI104" s="9" t="inlineStr">
        <is>
          <t>8</t>
        </is>
      </c>
      <c r="AJ104" s="9" t="inlineStr">
        <is>
          <t>---</t>
        </is>
      </c>
    </row>
    <row r="105">
      <c r="A105" s="1" t="inlineStr">
        <is>
          <t>41558-4</t>
        </is>
      </c>
      <c r="B105" s="1" t="inlineStr">
        <is>
          <t>SHIMOMURA HI</t>
        </is>
      </c>
      <c r="C105" s="1" t="inlineStr"/>
      <c r="D105" s="1" t="inlineStr">
        <is>
          <t>NTW002</t>
        </is>
      </c>
      <c r="E105" s="1" t="n"/>
      <c r="F105" s="9" t="inlineStr"/>
      <c r="G105" s="9">
        <f>HYPERLINK("#Schedule!F416", "NISHIMURATO (53831)")</f>
        <v/>
      </c>
      <c r="H105" s="9">
        <f>HYPERLINK("#Schedule!F416", "NISHIMURATO (53831)")</f>
        <v/>
      </c>
      <c r="I105" s="9" t="inlineStr"/>
      <c r="J105" s="9" t="inlineStr"/>
      <c r="K105" s="9">
        <f>HYPERLINK("#Schedule!F388", "MOMOZAKIMA (53883)")</f>
        <v/>
      </c>
      <c r="L105" s="9" t="inlineStr"/>
      <c r="M105" s="9">
        <f>HYPERLINK("#Schedule!F388", "MOMOZAKIMA (53883)")</f>
        <v/>
      </c>
      <c r="N105" s="9" t="inlineStr"/>
      <c r="O105" s="9">
        <f>HYPERLINK("#Schedule!F311", "KANEHARAMO (51867)")</f>
        <v/>
      </c>
      <c r="P105" s="9" t="inlineStr"/>
      <c r="Q105" s="9">
        <f>HYPERLINK("#Schedule!F311", "KANEHARAMO (51867)")</f>
        <v/>
      </c>
      <c r="R105" s="9">
        <f>HYPERLINK("#Schedule!F311", "KANEHARAMO (51867)")</f>
        <v/>
      </c>
      <c r="S105" s="9" t="inlineStr"/>
      <c r="T105" s="9" t="inlineStr"/>
      <c r="U105" s="9" t="inlineStr"/>
      <c r="V105" s="9">
        <f>HYPERLINK("#Schedule!F388", "MOMOZAKIMA (53883)")</f>
        <v/>
      </c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>
        <f>HYPERLINK("#Schedule!F374", "NAKAITO (53882)")</f>
        <v/>
      </c>
      <c r="AE105" s="9" t="inlineStr"/>
      <c r="AF105" s="9">
        <f>HYPERLINK("#Schedule!F374", "NAKAITO (53882)")</f>
        <v/>
      </c>
      <c r="AG105" s="9" t="inlineStr"/>
      <c r="AH105" s="9" t="inlineStr"/>
      <c r="AI105" s="9" t="inlineStr"/>
      <c r="AJ105" s="9" t="inlineStr"/>
    </row>
    <row r="106">
      <c r="A106" s="1" t="inlineStr">
        <is>
          <t>48994-1</t>
        </is>
      </c>
      <c r="B106" s="1" t="inlineStr">
        <is>
          <t>MORI SH</t>
        </is>
      </c>
      <c r="C106" s="1" t="inlineStr"/>
      <c r="D106" s="1" t="inlineStr">
        <is>
          <t>NTW002</t>
        </is>
      </c>
      <c r="E106" s="1" t="n"/>
      <c r="F106" s="4" t="inlineStr">
        <is>
          <t>森 SH</t>
        </is>
      </c>
      <c r="G106" s="4" t="inlineStr">
        <is>
          <t>SG</t>
        </is>
      </c>
      <c r="H106" s="4" t="inlineStr">
        <is>
          <t>機種：</t>
        </is>
      </c>
      <c r="I106" s="4" t="inlineStr">
        <is>
          <t>787</t>
        </is>
      </c>
      <c r="J106" s="4" t="inlineStr">
        <is>
          <t>ランク：</t>
        </is>
      </c>
      <c r="K106" s="4" t="inlineStr">
        <is>
          <t>CAP</t>
        </is>
      </c>
      <c r="L106" s="4" t="inlineStr">
        <is>
          <t>期：</t>
        </is>
      </c>
      <c r="M106" s="4" t="inlineStr">
        <is>
          <t>職番：</t>
        </is>
      </c>
      <c r="N106" s="4" t="inlineStr">
        <is>
          <t>00048994</t>
        </is>
      </c>
      <c r="O106" s="4" t="inlineStr">
        <is>
          <t>所属：</t>
        </is>
      </c>
      <c r="P106" s="4" t="inlineStr">
        <is>
          <t>NTZNT</t>
        </is>
      </c>
      <c r="Q106" s="4" t="inlineStr">
        <is>
          <t>CAT資：</t>
        </is>
      </c>
      <c r="R106" s="4" t="inlineStr">
        <is>
          <t>CAT3</t>
        </is>
      </c>
      <c r="S106" s="4" t="inlineStr">
        <is>
          <t>T/O：</t>
        </is>
      </c>
      <c r="T106" s="4" t="inlineStr">
        <is>
          <t>3T250912</t>
        </is>
      </c>
      <c r="U106" s="4" t="inlineStr">
        <is>
          <t>L/D：</t>
        </is>
      </c>
      <c r="V106" s="4" t="inlineStr">
        <is>
          <t>3L250912</t>
        </is>
      </c>
      <c r="W106" s="4" t="inlineStr">
        <is>
          <t>PE：</t>
        </is>
      </c>
      <c r="X106" s="5" t="inlineStr">
        <is>
          <t>PE251014</t>
        </is>
      </c>
      <c r="Y106" s="4" t="inlineStr">
        <is>
          <t>誕生月：</t>
        </is>
      </c>
      <c r="Z106" s="4" t="inlineStr">
        <is>
          <t>08</t>
        </is>
      </c>
      <c r="AA106" s="6" t="inlineStr">
        <is>
          <t>電話：</t>
        </is>
      </c>
      <c r="AB106" s="6" t="inlineStr">
        <is>
          <t>03-3942-0294</t>
        </is>
      </c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>
        <is>
          <t>NTW002</t>
        </is>
      </c>
    </row>
    <row r="107">
      <c r="A107" s="1" t="inlineStr">
        <is>
          <t>48994-2</t>
        </is>
      </c>
      <c r="B107" s="1" t="inlineStr">
        <is>
          <t>MORI SH</t>
        </is>
      </c>
      <c r="C107" s="1" t="inlineStr"/>
      <c r="D107" s="1" t="inlineStr">
        <is>
          <t>NTW002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7" t="inlineStr">
        <is>
          <t>04</t>
        </is>
      </c>
      <c r="J107" s="7" t="inlineStr">
        <is>
          <t>05</t>
        </is>
      </c>
      <c r="K107" s="7" t="inlineStr">
        <is>
          <t>06</t>
        </is>
      </c>
      <c r="L107" s="10" t="inlineStr">
        <is>
          <t>07</t>
        </is>
      </c>
      <c r="M107" s="7" t="inlineStr">
        <is>
          <t>08</t>
        </is>
      </c>
      <c r="N107" s="10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0" t="inlineStr">
        <is>
          <t>19</t>
        </is>
      </c>
      <c r="Y107" s="7" t="inlineStr">
        <is>
          <t>20</t>
        </is>
      </c>
      <c r="Z107" s="8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48994-3</t>
        </is>
      </c>
      <c r="B108" s="1" t="inlineStr">
        <is>
          <t>MORI SH</t>
        </is>
      </c>
      <c r="C108" s="1" t="inlineStr"/>
      <c r="D108" s="1" t="inlineStr">
        <is>
          <t>NTW002</t>
        </is>
      </c>
      <c r="E108" s="1" t="n"/>
      <c r="F108" s="9" t="inlineStr">
        <is>
          <t>H</t>
        </is>
      </c>
      <c r="G108" s="9" t="inlineStr">
        <is>
          <t>93
94</t>
        </is>
      </c>
      <c r="H108" s="9" t="inlineStr">
        <is>
          <t>RF</t>
        </is>
      </c>
      <c r="I108" s="9" t="inlineStr">
        <is>
          <t>ISR
ISR
#2
11:00-15:00</t>
        </is>
      </c>
      <c r="J108" s="9" t="inlineStr">
        <is>
          <t>HH</t>
        </is>
      </c>
      <c r="K108" s="9" t="inlineStr">
        <is>
          <t>H</t>
        </is>
      </c>
      <c r="L108" s="9" t="inlineStr">
        <is>
          <t>M21
ISR
#1
07:00-11:00</t>
        </is>
      </c>
      <c r="M108" s="9" t="inlineStr">
        <is>
          <t>RF</t>
        </is>
      </c>
      <c r="N108" s="9" t="inlineStr">
        <is>
          <t>M21
ISR
#2
05:00-09:00</t>
        </is>
      </c>
      <c r="O108" s="9" t="inlineStr">
        <is>
          <t>H</t>
        </is>
      </c>
      <c r="P108" s="9" t="inlineStr">
        <is>
          <t>SX</t>
        </is>
      </c>
      <c r="Q108" s="9" t="inlineStr">
        <is>
          <t>SX</t>
        </is>
      </c>
      <c r="R108" s="9" t="inlineStr">
        <is>
          <t>H</t>
        </is>
      </c>
      <c r="S108" s="9" t="inlineStr">
        <is>
          <t>SX</t>
        </is>
      </c>
      <c r="T108" s="9" t="inlineStr">
        <is>
          <t>HH</t>
        </is>
      </c>
      <c r="U108" s="9" t="inlineStr">
        <is>
          <t>VAC</t>
        </is>
      </c>
      <c r="V108" s="9" t="inlineStr">
        <is>
          <t>SX</t>
        </is>
      </c>
      <c r="W108" s="9" t="inlineStr">
        <is>
          <t>SX</t>
        </is>
      </c>
      <c r="X108" s="9" t="inlineStr">
        <is>
          <t>M22
ISR
#2
19:00-23:00</t>
        </is>
      </c>
      <c r="Y108" s="9" t="inlineStr">
        <is>
          <t>H</t>
        </is>
      </c>
      <c r="Z108" s="9" t="inlineStr">
        <is>
          <t>133
CMD ISR
138
CMD ISR</t>
        </is>
      </c>
      <c r="AA108" s="9" t="inlineStr">
        <is>
          <t>H</t>
        </is>
      </c>
      <c r="AB108" s="9" t="inlineStr">
        <is>
          <t>S06</t>
        </is>
      </c>
      <c r="AC108" s="9" t="inlineStr">
        <is>
          <t>753</t>
        </is>
      </c>
      <c r="AD108" s="9" t="inlineStr">
        <is>
          <t>---</t>
        </is>
      </c>
      <c r="AE108" s="9" t="inlineStr">
        <is>
          <t>754</t>
        </is>
      </c>
      <c r="AF108" s="9" t="inlineStr">
        <is>
          <t>H</t>
        </is>
      </c>
      <c r="AG108" s="9" t="inlineStr">
        <is>
          <t>H</t>
        </is>
      </c>
      <c r="AH108" s="9" t="inlineStr">
        <is>
          <t>GMT1</t>
        </is>
      </c>
      <c r="AI108" s="9" t="inlineStr">
        <is>
          <t>66</t>
        </is>
      </c>
      <c r="AJ108" s="9" t="inlineStr">
        <is>
          <t>---</t>
        </is>
      </c>
    </row>
    <row r="109">
      <c r="A109" s="1" t="inlineStr">
        <is>
          <t>48994-4</t>
        </is>
      </c>
      <c r="B109" s="1" t="inlineStr">
        <is>
          <t>MORI SH</t>
        </is>
      </c>
      <c r="C109" s="1" t="inlineStr"/>
      <c r="D109" s="1" t="inlineStr">
        <is>
          <t>NTW002</t>
        </is>
      </c>
      <c r="E109" s="1" t="n"/>
      <c r="F109" s="9" t="inlineStr"/>
      <c r="G109" s="9" t="inlineStr"/>
      <c r="H109" s="9" t="inlineStr"/>
      <c r="I109" s="9">
        <f>HYPERLINK("#Schedule!F160", "I岡本 KA (41662)")</f>
        <v/>
      </c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>
        <is>
          <t>TSUNODAAK</t>
        </is>
      </c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>
        <f>HYPERLINK("#Schedule!F182", "髙瀨 MA (67264)")</f>
        <v/>
      </c>
      <c r="AJ109" s="9" t="inlineStr"/>
    </row>
    <row r="110">
      <c r="A110" s="1" t="inlineStr">
        <is>
          <t>48994-5</t>
        </is>
      </c>
      <c r="B110" s="1" t="inlineStr">
        <is>
          <t>MORI SH</t>
        </is>
      </c>
      <c r="C110" s="1" t="inlineStr"/>
      <c r="D110" s="1" t="inlineStr">
        <is>
          <t>NTW002</t>
        </is>
      </c>
      <c r="E110" s="1" t="n"/>
      <c r="F110" s="9" t="inlineStr"/>
      <c r="G110" s="9" t="inlineStr"/>
      <c r="H110" s="9" t="inlineStr"/>
      <c r="I110" s="9">
        <f>HYPERLINK("#Schedule!F10", "I佐々木MA (45028)")</f>
        <v/>
      </c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</row>
    <row r="111">
      <c r="A111" s="1" t="inlineStr">
        <is>
          <t>44524-1</t>
        </is>
      </c>
      <c r="B111" s="1" t="inlineStr">
        <is>
          <t xml:space="preserve">TAKAHASHI 橋 </t>
        </is>
      </c>
      <c r="C111" s="1" t="inlineStr"/>
      <c r="D111" s="1" t="inlineStr">
        <is>
          <t>NTW003</t>
        </is>
      </c>
      <c r="E111" s="1" t="n"/>
      <c r="F111" s="4" t="inlineStr">
        <is>
          <t xml:space="preserve">高橋 </t>
        </is>
      </c>
      <c r="G111" s="4" t="inlineStr">
        <is>
          <t>NA</t>
        </is>
      </c>
      <c r="H111" s="4" t="inlineStr">
        <is>
          <t>機種：</t>
        </is>
      </c>
      <c r="I111" s="4" t="inlineStr">
        <is>
          <t>787</t>
        </is>
      </c>
      <c r="J111" s="4" t="inlineStr">
        <is>
          <t>ランク：</t>
        </is>
      </c>
      <c r="K111" s="4" t="inlineStr">
        <is>
          <t>CAP</t>
        </is>
      </c>
      <c r="L111" s="4" t="inlineStr">
        <is>
          <t>期：</t>
        </is>
      </c>
      <c r="M111" s="4" t="inlineStr">
        <is>
          <t>職番：</t>
        </is>
      </c>
      <c r="N111" s="4" t="inlineStr">
        <is>
          <t>00044524</t>
        </is>
      </c>
      <c r="O111" s="4" t="inlineStr">
        <is>
          <t>所属：</t>
        </is>
      </c>
      <c r="P111" s="4" t="inlineStr">
        <is>
          <t>NTZNT</t>
        </is>
      </c>
      <c r="Q111" s="4" t="inlineStr">
        <is>
          <t>CAT資：</t>
        </is>
      </c>
      <c r="R111" s="4" t="inlineStr">
        <is>
          <t>CAT3</t>
        </is>
      </c>
      <c r="S111" s="4" t="inlineStr">
        <is>
          <t>T/O：</t>
        </is>
      </c>
      <c r="T111" s="4" t="inlineStr">
        <is>
          <t>3T251007</t>
        </is>
      </c>
      <c r="U111" s="4" t="inlineStr">
        <is>
          <t>L/D：</t>
        </is>
      </c>
      <c r="V111" s="4" t="inlineStr">
        <is>
          <t>3L251007</t>
        </is>
      </c>
      <c r="W111" s="4" t="inlineStr">
        <is>
          <t>PE：</t>
        </is>
      </c>
      <c r="X111" s="5" t="inlineStr">
        <is>
          <t>PE250919</t>
        </is>
      </c>
      <c r="Y111" s="4" t="inlineStr">
        <is>
          <t>誕生月：</t>
        </is>
      </c>
      <c r="Z111" s="4" t="inlineStr">
        <is>
          <t>01</t>
        </is>
      </c>
      <c r="AA111" s="6" t="inlineStr">
        <is>
          <t>電話：</t>
        </is>
      </c>
      <c r="AB111" s="6" t="inlineStr">
        <is>
          <t>080-1079-7545</t>
        </is>
      </c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>
        <is>
          <t>NTW003</t>
        </is>
      </c>
    </row>
    <row r="112">
      <c r="A112" s="1" t="inlineStr">
        <is>
          <t>44524-2</t>
        </is>
      </c>
      <c r="B112" s="1" t="inlineStr">
        <is>
          <t xml:space="preserve">TAKAHASHI 橋 </t>
        </is>
      </c>
      <c r="C112" s="1" t="inlineStr"/>
      <c r="D112" s="1" t="inlineStr">
        <is>
          <t>NTW003</t>
        </is>
      </c>
      <c r="E112" s="1" t="n"/>
      <c r="F112" s="7" t="inlineStr">
        <is>
          <t>01</t>
        </is>
      </c>
      <c r="G112" s="7" t="inlineStr">
        <is>
          <t>02</t>
        </is>
      </c>
      <c r="H112" s="7" t="inlineStr">
        <is>
          <t>03</t>
        </is>
      </c>
      <c r="I112" s="7" t="inlineStr">
        <is>
          <t>04</t>
        </is>
      </c>
      <c r="J112" s="7" t="inlineStr">
        <is>
          <t>05</t>
        </is>
      </c>
      <c r="K112" s="7" t="inlineStr">
        <is>
          <t>06</t>
        </is>
      </c>
      <c r="L112" s="7" t="inlineStr">
        <is>
          <t>07</t>
        </is>
      </c>
      <c r="M112" s="7" t="inlineStr">
        <is>
          <t>08</t>
        </is>
      </c>
      <c r="N112" s="7" t="inlineStr">
        <is>
          <t>09</t>
        </is>
      </c>
      <c r="O112" s="7" t="inlineStr">
        <is>
          <t>10</t>
        </is>
      </c>
      <c r="P112" s="7" t="inlineStr">
        <is>
          <t>11</t>
        </is>
      </c>
      <c r="Q112" s="7" t="inlineStr">
        <is>
          <t>12</t>
        </is>
      </c>
      <c r="R112" s="7" t="inlineStr">
        <is>
          <t>13</t>
        </is>
      </c>
      <c r="S112" s="7" t="inlineStr">
        <is>
          <t>14</t>
        </is>
      </c>
      <c r="T112" s="14" t="inlineStr">
        <is>
          <t>15</t>
        </is>
      </c>
      <c r="U112" s="7" t="inlineStr">
        <is>
          <t>16</t>
        </is>
      </c>
      <c r="V112" s="14" t="inlineStr">
        <is>
          <t>17</t>
        </is>
      </c>
      <c r="W112" s="7" t="inlineStr">
        <is>
          <t>18</t>
        </is>
      </c>
      <c r="X112" s="7" t="inlineStr">
        <is>
          <t>19</t>
        </is>
      </c>
      <c r="Y112" s="7" t="inlineStr">
        <is>
          <t>20</t>
        </is>
      </c>
      <c r="Z112" s="7" t="inlineStr">
        <is>
          <t>21</t>
        </is>
      </c>
      <c r="AA112" s="7" t="inlineStr">
        <is>
          <t>22</t>
        </is>
      </c>
      <c r="AB112" s="7" t="inlineStr">
        <is>
          <t>23</t>
        </is>
      </c>
      <c r="AC112" s="7" t="inlineStr">
        <is>
          <t>24</t>
        </is>
      </c>
      <c r="AD112" s="7" t="inlineStr">
        <is>
          <t>25</t>
        </is>
      </c>
      <c r="AE112" s="7" t="inlineStr">
        <is>
          <t>26</t>
        </is>
      </c>
      <c r="AF112" s="7" t="inlineStr">
        <is>
          <t>27</t>
        </is>
      </c>
      <c r="AG112" s="7" t="inlineStr">
        <is>
          <t>28</t>
        </is>
      </c>
      <c r="AH112" s="7" t="inlineStr">
        <is>
          <t>29</t>
        </is>
      </c>
      <c r="AI112" s="7" t="inlineStr">
        <is>
          <t>30</t>
        </is>
      </c>
      <c r="AJ112" s="7" t="inlineStr">
        <is>
          <t>31</t>
        </is>
      </c>
    </row>
    <row r="113">
      <c r="A113" s="1" t="inlineStr">
        <is>
          <t>44524-3</t>
        </is>
      </c>
      <c r="B113" s="1" t="inlineStr">
        <is>
          <t xml:space="preserve">TAKAHASHI 橋 </t>
        </is>
      </c>
      <c r="C113" s="1" t="inlineStr"/>
      <c r="D113" s="1" t="inlineStr">
        <is>
          <t>NTW003</t>
        </is>
      </c>
      <c r="E113" s="1" t="n"/>
      <c r="F113" s="9" t="inlineStr">
        <is>
          <t>NTW1</t>
        </is>
      </c>
      <c r="G113" s="9" t="inlineStr">
        <is>
          <t>H</t>
        </is>
      </c>
      <c r="H113" s="9" t="inlineStr">
        <is>
          <t>GJ0</t>
        </is>
      </c>
      <c r="I113" s="9" t="inlineStr">
        <is>
          <t>ISR
ISR
#1
13:00-17:00</t>
        </is>
      </c>
      <c r="J113" s="9" t="inlineStr">
        <is>
          <t>RF</t>
        </is>
      </c>
      <c r="K113" s="9" t="inlineStr">
        <is>
          <t>H</t>
        </is>
      </c>
      <c r="L113" s="9" t="inlineStr">
        <is>
          <t>SX</t>
        </is>
      </c>
      <c r="M113" s="9" t="inlineStr">
        <is>
          <t>MTG1</t>
        </is>
      </c>
      <c r="N113" s="9" t="inlineStr">
        <is>
          <t>NTZ1</t>
        </is>
      </c>
      <c r="O113" s="9" t="inlineStr">
        <is>
          <t>ISR
ISR
#2
11:00-15:00</t>
        </is>
      </c>
      <c r="P113" s="9" t="inlineStr">
        <is>
          <t>MTG1</t>
        </is>
      </c>
      <c r="Q113" s="9" t="inlineStr">
        <is>
          <t>H</t>
        </is>
      </c>
      <c r="R113" s="9" t="inlineStr">
        <is>
          <t>H</t>
        </is>
      </c>
      <c r="S113" s="9" t="inlineStr">
        <is>
          <t>SX</t>
        </is>
      </c>
      <c r="T113" s="9" t="inlineStr">
        <is>
          <t>FOTR
TRN
#2
09:00-13:00
FOTR/BU</t>
        </is>
      </c>
      <c r="U113" s="9" t="inlineStr">
        <is>
          <t>H</t>
        </is>
      </c>
      <c r="V113" s="9" t="inlineStr">
        <is>
          <t>FOTR
TRN
#1
11:00-15:00
FOTR/BU</t>
        </is>
      </c>
      <c r="W113" s="9" t="inlineStr">
        <is>
          <t>NTW1</t>
        </is>
      </c>
      <c r="X113" s="9" t="inlineStr">
        <is>
          <t>NTW1</t>
        </is>
      </c>
      <c r="Y113" s="9" t="inlineStr">
        <is>
          <t>R</t>
        </is>
      </c>
      <c r="Z113" s="9" t="inlineStr">
        <is>
          <t>H</t>
        </is>
      </c>
      <c r="AA113" s="9" t="inlineStr">
        <is>
          <t>407</t>
        </is>
      </c>
      <c r="AB113" s="9" t="inlineStr">
        <is>
          <t>---</t>
        </is>
      </c>
      <c r="AC113" s="9" t="inlineStr">
        <is>
          <t>---</t>
        </is>
      </c>
      <c r="AD113" s="9" t="inlineStr">
        <is>
          <t>408</t>
        </is>
      </c>
      <c r="AE113" s="9" t="inlineStr">
        <is>
          <t>H</t>
        </is>
      </c>
      <c r="AF113" s="9" t="inlineStr">
        <is>
          <t>H</t>
        </is>
      </c>
      <c r="AG113" s="9" t="inlineStr">
        <is>
          <t>H</t>
        </is>
      </c>
      <c r="AH113" s="9" t="inlineStr">
        <is>
          <t>GMT1</t>
        </is>
      </c>
      <c r="AI113" s="9" t="inlineStr">
        <is>
          <t>HH</t>
        </is>
      </c>
      <c r="AJ113" s="9" t="inlineStr">
        <is>
          <t>HH</t>
        </is>
      </c>
    </row>
    <row r="114">
      <c r="A114" s="1" t="inlineStr">
        <is>
          <t>44524-4</t>
        </is>
      </c>
      <c r="B114" s="1" t="inlineStr">
        <is>
          <t xml:space="preserve">TAKAHASHI 橋 </t>
        </is>
      </c>
      <c r="C114" s="1" t="inlineStr"/>
      <c r="D114" s="1" t="inlineStr">
        <is>
          <t>NTW003</t>
        </is>
      </c>
      <c r="E114" s="1" t="n"/>
      <c r="F114" s="9" t="inlineStr"/>
      <c r="G114" s="9" t="inlineStr"/>
      <c r="H114" s="9" t="inlineStr"/>
      <c r="I114" s="9" t="inlineStr">
        <is>
          <t>T山本KC</t>
        </is>
      </c>
      <c r="J114" s="9" t="inlineStr"/>
      <c r="K114" s="9" t="inlineStr"/>
      <c r="L114" s="9" t="inlineStr"/>
      <c r="M114" s="9" t="inlineStr"/>
      <c r="N114" s="9" t="inlineStr"/>
      <c r="O114" s="11">
        <f>HYPERLINK("#Schedule!F138", "I安藤 YU (37725)")</f>
        <v/>
      </c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</row>
    <row r="115">
      <c r="A115" s="1" t="inlineStr">
        <is>
          <t>44524-5</t>
        </is>
      </c>
      <c r="B115" s="1" t="inlineStr">
        <is>
          <t xml:space="preserve">TAKAHASHI 橋 </t>
        </is>
      </c>
      <c r="C115" s="1" t="inlineStr"/>
      <c r="D115" s="1" t="inlineStr">
        <is>
          <t>NTW003</t>
        </is>
      </c>
      <c r="E115" s="1" t="n"/>
      <c r="F115" s="9" t="inlineStr"/>
      <c r="G115" s="9" t="inlineStr"/>
      <c r="H115" s="9" t="inlineStr"/>
      <c r="I115" s="9" t="inlineStr">
        <is>
          <t>T渡部 YU</t>
        </is>
      </c>
      <c r="J115" s="9" t="inlineStr"/>
      <c r="K115" s="9" t="inlineStr"/>
      <c r="L115" s="9" t="inlineStr"/>
      <c r="M115" s="9" t="inlineStr"/>
      <c r="N115" s="9" t="inlineStr"/>
      <c r="O115" s="9">
        <f>HYPERLINK("#Schedule!F64", "I儀同 TO (43998)")</f>
        <v/>
      </c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</row>
    <row r="116">
      <c r="A116" s="1" t="inlineStr">
        <is>
          <t>41180-1</t>
        </is>
      </c>
      <c r="B116" s="1" t="inlineStr">
        <is>
          <t>OGAWA KE</t>
        </is>
      </c>
      <c r="C116" s="1" t="inlineStr"/>
      <c r="D116" s="1" t="inlineStr">
        <is>
          <t>NTW003</t>
        </is>
      </c>
      <c r="E116" s="1" t="n"/>
      <c r="F116" s="4" t="inlineStr">
        <is>
          <t>小川 KE</t>
        </is>
      </c>
      <c r="G116" s="4" t="inlineStr">
        <is>
          <t>KE</t>
        </is>
      </c>
      <c r="H116" s="4" t="inlineStr">
        <is>
          <t>機種：</t>
        </is>
      </c>
      <c r="I116" s="4" t="inlineStr">
        <is>
          <t>787</t>
        </is>
      </c>
      <c r="J116" s="4" t="inlineStr">
        <is>
          <t>ランク：</t>
        </is>
      </c>
      <c r="K116" s="4" t="inlineStr">
        <is>
          <t>CAP</t>
        </is>
      </c>
      <c r="L116" s="4" t="inlineStr">
        <is>
          <t>期：</t>
        </is>
      </c>
      <c r="M116" s="4" t="inlineStr">
        <is>
          <t>職番：</t>
        </is>
      </c>
      <c r="N116" s="4" t="inlineStr">
        <is>
          <t>00041180</t>
        </is>
      </c>
      <c r="O116" s="4" t="inlineStr">
        <is>
          <t>所属：</t>
        </is>
      </c>
      <c r="P116" s="4" t="inlineStr">
        <is>
          <t>NTZNT</t>
        </is>
      </c>
      <c r="Q116" s="4" t="inlineStr">
        <is>
          <t>CAT資：</t>
        </is>
      </c>
      <c r="R116" s="4" t="inlineStr">
        <is>
          <t>CAT3</t>
        </is>
      </c>
      <c r="S116" s="4" t="inlineStr">
        <is>
          <t>T/O：</t>
        </is>
      </c>
      <c r="T116" s="4" t="inlineStr">
        <is>
          <t>3T250721</t>
        </is>
      </c>
      <c r="U116" s="4" t="inlineStr">
        <is>
          <t>L/D：</t>
        </is>
      </c>
      <c r="V116" s="4" t="inlineStr">
        <is>
          <t>3L250721</t>
        </is>
      </c>
      <c r="W116" s="4" t="inlineStr">
        <is>
          <t>PE：</t>
        </is>
      </c>
      <c r="X116" s="4" t="inlineStr">
        <is>
          <t>誕生月：</t>
        </is>
      </c>
      <c r="Y116" s="4" t="inlineStr">
        <is>
          <t>09</t>
        </is>
      </c>
      <c r="Z116" s="6" t="inlineStr">
        <is>
          <t>電話：</t>
        </is>
      </c>
      <c r="AA116" s="6" t="inlineStr">
        <is>
          <t>080-3961-9449</t>
        </is>
      </c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>
        <is>
          <t>NTW003</t>
        </is>
      </c>
    </row>
    <row r="117">
      <c r="A117" s="1" t="inlineStr">
        <is>
          <t>41180-2</t>
        </is>
      </c>
      <c r="B117" s="1" t="inlineStr">
        <is>
          <t>OGAWA KE</t>
        </is>
      </c>
      <c r="C117" s="1" t="inlineStr"/>
      <c r="D117" s="1" t="inlineStr">
        <is>
          <t>NTW003</t>
        </is>
      </c>
      <c r="E117" s="1" t="n"/>
      <c r="F117" s="7" t="inlineStr">
        <is>
          <t>01</t>
        </is>
      </c>
      <c r="G117" s="7" t="inlineStr">
        <is>
          <t>02</t>
        </is>
      </c>
      <c r="H117" s="7" t="inlineStr">
        <is>
          <t>03</t>
        </is>
      </c>
      <c r="I117" s="7" t="inlineStr">
        <is>
          <t>04</t>
        </is>
      </c>
      <c r="J117" s="7" t="inlineStr">
        <is>
          <t>05</t>
        </is>
      </c>
      <c r="K117" s="7" t="inlineStr">
        <is>
          <t>06</t>
        </is>
      </c>
      <c r="L117" s="7" t="inlineStr">
        <is>
          <t>07</t>
        </is>
      </c>
      <c r="M117" s="7" t="inlineStr">
        <is>
          <t>08</t>
        </is>
      </c>
      <c r="N117" s="7" t="inlineStr">
        <is>
          <t>09</t>
        </is>
      </c>
      <c r="O117" s="7" t="inlineStr">
        <is>
          <t>10</t>
        </is>
      </c>
      <c r="P117" s="7" t="inlineStr">
        <is>
          <t>11</t>
        </is>
      </c>
      <c r="Q117" s="7" t="inlineStr">
        <is>
          <t>12</t>
        </is>
      </c>
      <c r="R117" s="7" t="inlineStr">
        <is>
          <t>13</t>
        </is>
      </c>
      <c r="S117" s="7" t="inlineStr">
        <is>
          <t>14</t>
        </is>
      </c>
      <c r="T117" s="7" t="inlineStr">
        <is>
          <t>15</t>
        </is>
      </c>
      <c r="U117" s="7" t="inlineStr">
        <is>
          <t>16</t>
        </is>
      </c>
      <c r="V117" s="7" t="inlineStr">
        <is>
          <t>17</t>
        </is>
      </c>
      <c r="W117" s="7" t="inlineStr">
        <is>
          <t>18</t>
        </is>
      </c>
      <c r="X117" s="7" t="inlineStr">
        <is>
          <t>19</t>
        </is>
      </c>
      <c r="Y117" s="7" t="inlineStr">
        <is>
          <t>20</t>
        </is>
      </c>
      <c r="Z117" s="7" t="inlineStr">
        <is>
          <t>21</t>
        </is>
      </c>
      <c r="AA117" s="7" t="inlineStr">
        <is>
          <t>22</t>
        </is>
      </c>
      <c r="AB117" s="7" t="inlineStr">
        <is>
          <t>23</t>
        </is>
      </c>
      <c r="AC117" s="7" t="inlineStr">
        <is>
          <t>24</t>
        </is>
      </c>
      <c r="AD117" s="7" t="inlineStr">
        <is>
          <t>25</t>
        </is>
      </c>
      <c r="AE117" s="7" t="inlineStr">
        <is>
          <t>26</t>
        </is>
      </c>
      <c r="AF117" s="7" t="inlineStr">
        <is>
          <t>27</t>
        </is>
      </c>
      <c r="AG117" s="7" t="inlineStr">
        <is>
          <t>28</t>
        </is>
      </c>
      <c r="AH117" s="7" t="inlineStr">
        <is>
          <t>29</t>
        </is>
      </c>
      <c r="AI117" s="7" t="inlineStr">
        <is>
          <t>30</t>
        </is>
      </c>
      <c r="AJ117" s="7" t="inlineStr">
        <is>
          <t>31</t>
        </is>
      </c>
    </row>
    <row r="118">
      <c r="A118" s="1" t="inlineStr">
        <is>
          <t>41180-3</t>
        </is>
      </c>
      <c r="B118" s="1" t="inlineStr">
        <is>
          <t>OGAWA KE</t>
        </is>
      </c>
      <c r="C118" s="1" t="inlineStr"/>
      <c r="D118" s="1" t="inlineStr">
        <is>
          <t>NTW003</t>
        </is>
      </c>
      <c r="E118" s="1" t="n"/>
      <c r="F118" s="9" t="inlineStr">
        <is>
          <t>NTW1</t>
        </is>
      </c>
      <c r="G118" s="9" t="inlineStr">
        <is>
          <t>SIK</t>
        </is>
      </c>
      <c r="H118" s="9" t="inlineStr">
        <is>
          <t>SIK</t>
        </is>
      </c>
      <c r="I118" s="9" t="inlineStr">
        <is>
          <t>SIK</t>
        </is>
      </c>
      <c r="J118" s="9" t="inlineStr">
        <is>
          <t>SIK</t>
        </is>
      </c>
      <c r="K118" s="9" t="inlineStr">
        <is>
          <t>H</t>
        </is>
      </c>
      <c r="L118" s="9" t="inlineStr">
        <is>
          <t>H</t>
        </is>
      </c>
      <c r="M118" s="9" t="inlineStr">
        <is>
          <t>H</t>
        </is>
      </c>
      <c r="N118" s="9" t="inlineStr">
        <is>
          <t>SIK</t>
        </is>
      </c>
      <c r="O118" s="9" t="inlineStr">
        <is>
          <t>SIK</t>
        </is>
      </c>
      <c r="P118" s="9" t="inlineStr">
        <is>
          <t>SIK</t>
        </is>
      </c>
      <c r="Q118" s="9" t="inlineStr">
        <is>
          <t>SIK</t>
        </is>
      </c>
      <c r="R118" s="9" t="inlineStr">
        <is>
          <t>SIK</t>
        </is>
      </c>
      <c r="S118" s="9" t="inlineStr">
        <is>
          <t>H</t>
        </is>
      </c>
      <c r="T118" s="9" t="inlineStr">
        <is>
          <t>MTG1</t>
        </is>
      </c>
      <c r="U118" s="9" t="inlineStr">
        <is>
          <t>NTW1</t>
        </is>
      </c>
      <c r="V118" s="9" t="inlineStr">
        <is>
          <t>H</t>
        </is>
      </c>
      <c r="W118" s="9" t="inlineStr">
        <is>
          <t>SIK</t>
        </is>
      </c>
      <c r="X118" s="9" t="inlineStr">
        <is>
          <t>SIK</t>
        </is>
      </c>
      <c r="Y118" s="9" t="inlineStr">
        <is>
          <t>H/VAC</t>
        </is>
      </c>
      <c r="Z118" s="9" t="inlineStr">
        <is>
          <t>HH</t>
        </is>
      </c>
      <c r="AA118" s="9" t="inlineStr">
        <is>
          <t>HH</t>
        </is>
      </c>
      <c r="AB118" s="9" t="inlineStr">
        <is>
          <t>SIK</t>
        </is>
      </c>
      <c r="AC118" s="9" t="inlineStr">
        <is>
          <t>SIK</t>
        </is>
      </c>
      <c r="AD118" s="9" t="inlineStr">
        <is>
          <t>H</t>
        </is>
      </c>
      <c r="AE118" s="9" t="inlineStr">
        <is>
          <t>SIK</t>
        </is>
      </c>
      <c r="AF118" s="9" t="inlineStr">
        <is>
          <t>SIK</t>
        </is>
      </c>
      <c r="AG118" s="9" t="inlineStr">
        <is>
          <t>SIK</t>
        </is>
      </c>
      <c r="AH118" s="9" t="inlineStr">
        <is>
          <t>H</t>
        </is>
      </c>
      <c r="AI118" s="9" t="inlineStr">
        <is>
          <t>SIK</t>
        </is>
      </c>
      <c r="AJ118" s="9" t="inlineStr">
        <is>
          <t>NTW1</t>
        </is>
      </c>
    </row>
    <row r="119">
      <c r="A119" s="1" t="inlineStr">
        <is>
          <t>67211-1</t>
        </is>
      </c>
      <c r="B119" s="1" t="inlineStr">
        <is>
          <t>KAWASE HI</t>
        </is>
      </c>
      <c r="C119" s="1" t="inlineStr"/>
      <c r="D119" s="1" t="inlineStr">
        <is>
          <t>NTW003</t>
        </is>
      </c>
      <c r="E119" s="1" t="n"/>
      <c r="F119" s="4" t="inlineStr">
        <is>
          <t>川瀨 HI</t>
        </is>
      </c>
      <c r="G119" s="4" t="inlineStr">
        <is>
          <t>HI</t>
        </is>
      </c>
      <c r="H119" s="4" t="inlineStr">
        <is>
          <t>機種：</t>
        </is>
      </c>
      <c r="I119" s="4" t="inlineStr">
        <is>
          <t>787</t>
        </is>
      </c>
      <c r="J119" s="4" t="inlineStr">
        <is>
          <t>ランク：</t>
        </is>
      </c>
      <c r="K119" s="4" t="inlineStr">
        <is>
          <t>CAP</t>
        </is>
      </c>
      <c r="L119" s="4" t="inlineStr">
        <is>
          <t>期：</t>
        </is>
      </c>
      <c r="M119" s="4" t="inlineStr">
        <is>
          <t>職番：</t>
        </is>
      </c>
      <c r="N119" s="4" t="inlineStr">
        <is>
          <t>00067211</t>
        </is>
      </c>
      <c r="O119" s="4" t="inlineStr">
        <is>
          <t>所属：</t>
        </is>
      </c>
      <c r="P119" s="4" t="inlineStr">
        <is>
          <t>NTZNT</t>
        </is>
      </c>
      <c r="Q119" s="4" t="inlineStr">
        <is>
          <t>CAT資：</t>
        </is>
      </c>
      <c r="R119" s="4" t="inlineStr">
        <is>
          <t>CAT3</t>
        </is>
      </c>
      <c r="S119" s="4" t="inlineStr">
        <is>
          <t>T/O：</t>
        </is>
      </c>
      <c r="T119" s="4" t="inlineStr">
        <is>
          <t>3T250928</t>
        </is>
      </c>
      <c r="U119" s="4" t="inlineStr">
        <is>
          <t>L/D：</t>
        </is>
      </c>
      <c r="V119" s="4" t="inlineStr">
        <is>
          <t>3L250928</t>
        </is>
      </c>
      <c r="W119" s="4" t="inlineStr">
        <is>
          <t>PE：</t>
        </is>
      </c>
      <c r="X119" s="5" t="inlineStr">
        <is>
          <t>PE251103</t>
        </is>
      </c>
      <c r="Y119" s="4" t="inlineStr">
        <is>
          <t>誕生月：</t>
        </is>
      </c>
      <c r="Z119" s="4" t="inlineStr">
        <is>
          <t>08</t>
        </is>
      </c>
      <c r="AA119" s="6" t="inlineStr">
        <is>
          <t>電話：</t>
        </is>
      </c>
      <c r="AB119" s="6" t="inlineStr">
        <is>
          <t>03-6805-9835</t>
        </is>
      </c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>
        <is>
          <t>NTW003</t>
        </is>
      </c>
    </row>
    <row r="120">
      <c r="A120" s="1" t="inlineStr">
        <is>
          <t>67211-2</t>
        </is>
      </c>
      <c r="B120" s="1" t="inlineStr">
        <is>
          <t>KAWASE HI</t>
        </is>
      </c>
      <c r="C120" s="1" t="inlineStr"/>
      <c r="D120" s="1" t="inlineStr">
        <is>
          <t>NTW003</t>
        </is>
      </c>
      <c r="E120" s="1" t="n"/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8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8" t="inlineStr">
        <is>
          <t>12</t>
        </is>
      </c>
      <c r="R120" s="7" t="inlineStr">
        <is>
          <t>13</t>
        </is>
      </c>
      <c r="S120" s="7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8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12" t="inlineStr">
        <is>
          <t>27</t>
        </is>
      </c>
      <c r="AG120" s="12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67211-3</t>
        </is>
      </c>
      <c r="B121" s="1" t="inlineStr">
        <is>
          <t>KAWASE HI</t>
        </is>
      </c>
      <c r="C121" s="1" t="inlineStr"/>
      <c r="D121" s="1" t="inlineStr">
        <is>
          <t>NTW003</t>
        </is>
      </c>
      <c r="E121" s="1" t="n"/>
      <c r="F121" s="9" t="inlineStr">
        <is>
          <t>90
225DH</t>
        </is>
      </c>
      <c r="G121" s="9" t="inlineStr">
        <is>
          <t>891
894
134DH</t>
        </is>
      </c>
      <c r="H121" s="9" t="inlineStr">
        <is>
          <t>*H</t>
        </is>
      </c>
      <c r="I121" s="9" t="inlineStr">
        <is>
          <t>H/VAC</t>
        </is>
      </c>
      <c r="J121" s="9" t="inlineStr">
        <is>
          <t>H/VAC</t>
        </is>
      </c>
      <c r="K121" s="9" t="inlineStr">
        <is>
          <t>VAC</t>
        </is>
      </c>
      <c r="L121" s="9" t="inlineStr">
        <is>
          <t>HH</t>
        </is>
      </c>
      <c r="M121" s="9" t="inlineStr">
        <is>
          <t>HH</t>
        </is>
      </c>
      <c r="N121" s="9" t="inlineStr">
        <is>
          <t>93
CMD ISR
94
CMD ISR</t>
        </is>
      </c>
      <c r="O121" s="9" t="inlineStr">
        <is>
          <t>H/VAC</t>
        </is>
      </c>
      <c r="P121" s="9" t="inlineStr">
        <is>
          <t>SX</t>
        </is>
      </c>
      <c r="Q121" s="9" t="inlineStr">
        <is>
          <t>729
CMD ISR</t>
        </is>
      </c>
      <c r="R121" s="9" t="inlineStr">
        <is>
          <t>---</t>
        </is>
      </c>
      <c r="S121" s="9" t="inlineStr">
        <is>
          <t>---</t>
        </is>
      </c>
      <c r="T121" s="9" t="inlineStr">
        <is>
          <t>720
CMD ISR</t>
        </is>
      </c>
      <c r="U121" s="9" t="inlineStr">
        <is>
          <t>*H</t>
        </is>
      </c>
      <c r="V121" s="9" t="inlineStr">
        <is>
          <t>S06</t>
        </is>
      </c>
      <c r="W121" s="9" t="inlineStr">
        <is>
          <t>68</t>
        </is>
      </c>
      <c r="X121" s="9" t="inlineStr">
        <is>
          <t>---</t>
        </is>
      </c>
      <c r="Y121" s="9" t="inlineStr">
        <is>
          <t>67</t>
        </is>
      </c>
      <c r="Z121" s="9" t="inlineStr">
        <is>
          <t>*H</t>
        </is>
      </c>
      <c r="AA121" s="9" t="inlineStr">
        <is>
          <t>H</t>
        </is>
      </c>
      <c r="AB121" s="9" t="inlineStr">
        <is>
          <t>R_</t>
        </is>
      </c>
      <c r="AC121" s="9" t="inlineStr">
        <is>
          <t>133
CAUG ISR
138
CAUG ISR</t>
        </is>
      </c>
      <c r="AD121" s="9" t="inlineStr">
        <is>
          <t>H</t>
        </is>
      </c>
      <c r="AE121" s="9" t="inlineStr">
        <is>
          <t>H</t>
        </is>
      </c>
      <c r="AF121" s="9" t="inlineStr">
        <is>
          <t>M11
TRN
#1
10:00-11:00</t>
        </is>
      </c>
      <c r="AG121" s="9" t="inlineStr">
        <is>
          <t>M12
TRN
#1
17:00-21:00</t>
        </is>
      </c>
      <c r="AH121" s="9" t="inlineStr">
        <is>
          <t>GMT1</t>
        </is>
      </c>
      <c r="AI121" s="9" t="inlineStr">
        <is>
          <t>R</t>
        </is>
      </c>
      <c r="AJ121" s="9" t="inlineStr">
        <is>
          <t>R</t>
        </is>
      </c>
    </row>
    <row r="122">
      <c r="A122" s="1" t="inlineStr">
        <is>
          <t>67211-4</t>
        </is>
      </c>
      <c r="B122" s="1" t="inlineStr">
        <is>
          <t>KAWASE HI</t>
        </is>
      </c>
      <c r="C122" s="1" t="inlineStr"/>
      <c r="D122" s="1" t="inlineStr">
        <is>
          <t>NTW003</t>
        </is>
      </c>
      <c r="E122" s="1" t="n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>
        <is>
          <t>ISHIGUROKA</t>
        </is>
      </c>
      <c r="O122" s="9" t="inlineStr"/>
      <c r="P122" s="9" t="inlineStr"/>
      <c r="Q122" s="9">
        <f>HYPERLINK("#Schedule!F338", "SAITOYT (53880)")</f>
        <v/>
      </c>
      <c r="R122" s="9" t="inlineStr"/>
      <c r="S122" s="9" t="inlineStr"/>
      <c r="T122" s="9">
        <f>HYPERLINK("#Schedule!F338", "SAITOYT (53880)")</f>
        <v/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>
        <f>HYPERLINK("#Schedule!F346", "KOIZUMIKE (53825)")</f>
        <v/>
      </c>
      <c r="AD122" s="9" t="inlineStr"/>
      <c r="AE122" s="9" t="inlineStr"/>
      <c r="AF122" s="9" t="inlineStr"/>
      <c r="AG122" s="9">
        <f>HYPERLINK("#Schedule!F19", "I崎濱SH (36186)")</f>
        <v/>
      </c>
      <c r="AH122" s="9" t="inlineStr"/>
      <c r="AI122" s="9" t="inlineStr"/>
      <c r="AJ122" s="9" t="inlineStr"/>
    </row>
    <row r="123">
      <c r="A123" s="1" t="inlineStr">
        <is>
          <t>49377-1</t>
        </is>
      </c>
      <c r="B123" s="1" t="inlineStr">
        <is>
          <t>TAJIMI SH</t>
        </is>
      </c>
      <c r="C123" s="1" t="inlineStr"/>
      <c r="D123" s="1" t="inlineStr">
        <is>
          <t>NTW003</t>
        </is>
      </c>
      <c r="E123" s="1" t="n"/>
      <c r="F123" s="4" t="inlineStr">
        <is>
          <t>田二見 SH</t>
        </is>
      </c>
      <c r="G123" s="4" t="inlineStr">
        <is>
          <t>SH</t>
        </is>
      </c>
      <c r="H123" s="4" t="inlineStr">
        <is>
          <t>機種：</t>
        </is>
      </c>
      <c r="I123" s="4" t="inlineStr">
        <is>
          <t>787</t>
        </is>
      </c>
      <c r="J123" s="4" t="inlineStr">
        <is>
          <t>ランク：</t>
        </is>
      </c>
      <c r="K123" s="4" t="inlineStr">
        <is>
          <t>CAP</t>
        </is>
      </c>
      <c r="L123" s="4" t="inlineStr">
        <is>
          <t>期：</t>
        </is>
      </c>
      <c r="M123" s="4" t="inlineStr">
        <is>
          <t>職番：</t>
        </is>
      </c>
      <c r="N123" s="4" t="inlineStr">
        <is>
          <t>00049377</t>
        </is>
      </c>
      <c r="O123" s="4" t="inlineStr">
        <is>
          <t>所属：</t>
        </is>
      </c>
      <c r="P123" s="4" t="inlineStr">
        <is>
          <t>NTZNT</t>
        </is>
      </c>
      <c r="Q123" s="4" t="inlineStr">
        <is>
          <t>CAT資：</t>
        </is>
      </c>
      <c r="R123" s="4" t="inlineStr">
        <is>
          <t>CAT3</t>
        </is>
      </c>
      <c r="S123" s="4" t="inlineStr">
        <is>
          <t>T/O：</t>
        </is>
      </c>
      <c r="T123" s="4" t="inlineStr">
        <is>
          <t>3T251010</t>
        </is>
      </c>
      <c r="U123" s="4" t="inlineStr">
        <is>
          <t>L/D：</t>
        </is>
      </c>
      <c r="V123" s="4" t="inlineStr">
        <is>
          <t>3L251010</t>
        </is>
      </c>
      <c r="W123" s="4" t="inlineStr">
        <is>
          <t>PE：</t>
        </is>
      </c>
      <c r="X123" s="5" t="inlineStr">
        <is>
          <t>PE250813</t>
        </is>
      </c>
      <c r="Y123" s="4" t="inlineStr">
        <is>
          <t>誕生月：</t>
        </is>
      </c>
      <c r="Z123" s="4" t="inlineStr">
        <is>
          <t>09</t>
        </is>
      </c>
      <c r="AA123" s="6" t="inlineStr">
        <is>
          <t>電話：</t>
        </is>
      </c>
      <c r="AB123" s="6" t="inlineStr">
        <is>
          <t>090-3315-6172</t>
        </is>
      </c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>
        <is>
          <t>NTW003</t>
        </is>
      </c>
    </row>
    <row r="124">
      <c r="A124" s="1" t="inlineStr">
        <is>
          <t>49377-2</t>
        </is>
      </c>
      <c r="B124" s="1" t="inlineStr">
        <is>
          <t>TAJIMI SH</t>
        </is>
      </c>
      <c r="C124" s="1" t="inlineStr"/>
      <c r="D124" s="1" t="inlineStr">
        <is>
          <t>NTW003</t>
        </is>
      </c>
      <c r="E124" s="1" t="n"/>
      <c r="F124" s="7" t="inlineStr">
        <is>
          <t>01</t>
        </is>
      </c>
      <c r="G124" s="7" t="inlineStr">
        <is>
          <t>02</t>
        </is>
      </c>
      <c r="H124" s="7" t="inlineStr">
        <is>
          <t>03</t>
        </is>
      </c>
      <c r="I124" s="7" t="inlineStr">
        <is>
          <t>04</t>
        </is>
      </c>
      <c r="J124" s="7" t="inlineStr">
        <is>
          <t>05</t>
        </is>
      </c>
      <c r="K124" s="7" t="inlineStr">
        <is>
          <t>06</t>
        </is>
      </c>
      <c r="L124" s="8" t="inlineStr">
        <is>
          <t>07</t>
        </is>
      </c>
      <c r="M124" s="7" t="inlineStr">
        <is>
          <t>08</t>
        </is>
      </c>
      <c r="N124" s="8" t="inlineStr">
        <is>
          <t>09</t>
        </is>
      </c>
      <c r="O124" s="7" t="inlineStr">
        <is>
          <t>10</t>
        </is>
      </c>
      <c r="P124" s="7" t="inlineStr">
        <is>
          <t>11</t>
        </is>
      </c>
      <c r="Q124" s="7" t="inlineStr">
        <is>
          <t>12</t>
        </is>
      </c>
      <c r="R124" s="7" t="inlineStr">
        <is>
          <t>13</t>
        </is>
      </c>
      <c r="S124" s="7" t="inlineStr">
        <is>
          <t>14</t>
        </is>
      </c>
      <c r="T124" s="7" t="inlineStr">
        <is>
          <t>15</t>
        </is>
      </c>
      <c r="U124" s="7" t="inlineStr">
        <is>
          <t>16</t>
        </is>
      </c>
      <c r="V124" s="7" t="inlineStr">
        <is>
          <t>17</t>
        </is>
      </c>
      <c r="W124" s="8" t="inlineStr">
        <is>
          <t>18</t>
        </is>
      </c>
      <c r="X124" s="8" t="inlineStr">
        <is>
          <t>19</t>
        </is>
      </c>
      <c r="Y124" s="7" t="inlineStr">
        <is>
          <t>20</t>
        </is>
      </c>
      <c r="Z124" s="7" t="inlineStr">
        <is>
          <t>21</t>
        </is>
      </c>
      <c r="AA124" s="7" t="inlineStr">
        <is>
          <t>22</t>
        </is>
      </c>
      <c r="AB124" s="8" t="inlineStr">
        <is>
          <t>23</t>
        </is>
      </c>
      <c r="AC124" s="7" t="inlineStr">
        <is>
          <t>24</t>
        </is>
      </c>
      <c r="AD124" s="8" t="inlineStr">
        <is>
          <t>25</t>
        </is>
      </c>
      <c r="AE124" s="7" t="inlineStr">
        <is>
          <t>26</t>
        </is>
      </c>
      <c r="AF124" s="7" t="inlineStr">
        <is>
          <t>27</t>
        </is>
      </c>
      <c r="AG124" s="7" t="inlineStr">
        <is>
          <t>28</t>
        </is>
      </c>
      <c r="AH124" s="7" t="inlineStr">
        <is>
          <t>29</t>
        </is>
      </c>
      <c r="AI124" s="7" t="inlineStr">
        <is>
          <t>30</t>
        </is>
      </c>
      <c r="AJ124" s="13" t="inlineStr">
        <is>
          <t>31</t>
        </is>
      </c>
    </row>
    <row r="125">
      <c r="A125" s="1" t="inlineStr">
        <is>
          <t>49377-3</t>
        </is>
      </c>
      <c r="B125" s="1" t="inlineStr">
        <is>
          <t>TAJIMI SH</t>
        </is>
      </c>
      <c r="C125" s="1" t="inlineStr"/>
      <c r="D125" s="1" t="inlineStr">
        <is>
          <t>NTW003</t>
        </is>
      </c>
      <c r="E125" s="1" t="n"/>
      <c r="F125" s="9" t="inlineStr">
        <is>
          <t>H/VAC</t>
        </is>
      </c>
      <c r="G125" s="9" t="inlineStr">
        <is>
          <t>H/VAC</t>
        </is>
      </c>
      <c r="H125" s="9" t="inlineStr">
        <is>
          <t>H/VAC</t>
        </is>
      </c>
      <c r="I125" s="9" t="inlineStr">
        <is>
          <t>H/VAC</t>
        </is>
      </c>
      <c r="J125" s="9" t="inlineStr">
        <is>
          <t>HH</t>
        </is>
      </c>
      <c r="K125" s="9" t="inlineStr">
        <is>
          <t>HH</t>
        </is>
      </c>
      <c r="L125" s="9" t="inlineStr">
        <is>
          <t>745
VLDE ISR</t>
        </is>
      </c>
      <c r="M125" s="9" t="inlineStr">
        <is>
          <t>---</t>
        </is>
      </c>
      <c r="N125" s="9" t="inlineStr">
        <is>
          <t>78
VLDE ISR</t>
        </is>
      </c>
      <c r="O125" s="9" t="inlineStr">
        <is>
          <t>H</t>
        </is>
      </c>
      <c r="P125" s="9" t="inlineStr">
        <is>
          <t>87</t>
        </is>
      </c>
      <c r="Q125" s="9" t="inlineStr">
        <is>
          <t>88</t>
        </is>
      </c>
      <c r="R125" s="9" t="inlineStr">
        <is>
          <t>ISR
ISR
#2
13:00-17:00</t>
        </is>
      </c>
      <c r="S125" s="9" t="inlineStr">
        <is>
          <t>RF</t>
        </is>
      </c>
      <c r="T125" s="9" t="inlineStr">
        <is>
          <t>MTG1</t>
        </is>
      </c>
      <c r="U125" s="9" t="inlineStr">
        <is>
          <t>H/PEC</t>
        </is>
      </c>
      <c r="V125" s="9" t="inlineStr">
        <is>
          <t>H</t>
        </is>
      </c>
      <c r="W125" s="9" t="inlineStr">
        <is>
          <t>735
LEF ISR</t>
        </is>
      </c>
      <c r="X125" s="9" t="inlineStr">
        <is>
          <t>26
LEF ISR</t>
        </is>
      </c>
      <c r="Y125" s="9" t="inlineStr">
        <is>
          <t>R</t>
        </is>
      </c>
      <c r="Z125" s="9" t="inlineStr">
        <is>
          <t>MTG1</t>
        </is>
      </c>
      <c r="AA125" s="9" t="inlineStr">
        <is>
          <t>H</t>
        </is>
      </c>
      <c r="AB125" s="9" t="inlineStr">
        <is>
          <t>759
CMD ISR</t>
        </is>
      </c>
      <c r="AC125" s="9" t="inlineStr">
        <is>
          <t>---</t>
        </is>
      </c>
      <c r="AD125" s="9" t="inlineStr">
        <is>
          <t>70
CMD ISR</t>
        </is>
      </c>
      <c r="AE125" s="9" t="inlineStr">
        <is>
          <t>VACN</t>
        </is>
      </c>
      <c r="AF125" s="9" t="inlineStr">
        <is>
          <t>R_</t>
        </is>
      </c>
      <c r="AG125" s="9" t="inlineStr">
        <is>
          <t>97
98</t>
        </is>
      </c>
      <c r="AH125" s="9" t="inlineStr">
        <is>
          <t>ISR
ISR</t>
        </is>
      </c>
      <c r="AI125" s="9" t="inlineStr">
        <is>
          <t>FOTR
ISR
#1
11:00-15:00
FOTR/L12</t>
        </is>
      </c>
      <c r="AJ125" s="9" t="inlineStr">
        <is>
          <t>RCBT
CBT1 TRN
GS
GS-C TRN
DIT
DIT TRN</t>
        </is>
      </c>
    </row>
    <row r="126">
      <c r="A126" s="1" t="inlineStr">
        <is>
          <t>49377-4</t>
        </is>
      </c>
      <c r="B126" s="1" t="inlineStr">
        <is>
          <t>TAJIMI SH</t>
        </is>
      </c>
      <c r="C126" s="1" t="inlineStr"/>
      <c r="D126" s="1" t="inlineStr">
        <is>
          <t>NTW003</t>
        </is>
      </c>
      <c r="E126" s="1" t="n"/>
      <c r="F126" s="9" t="inlineStr"/>
      <c r="G126" s="9" t="inlineStr"/>
      <c r="H126" s="9" t="inlineStr"/>
      <c r="I126" s="9" t="inlineStr"/>
      <c r="J126" s="9" t="inlineStr"/>
      <c r="K126" s="9" t="inlineStr"/>
      <c r="L126" s="9">
        <f>HYPERLINK("#Schedule!F412", "MATSUDAMA (51871)")</f>
        <v/>
      </c>
      <c r="M126" s="9" t="inlineStr"/>
      <c r="N126" s="9">
        <f>HYPERLINK("#Schedule!F412", "MATSUDAMA (51871)")</f>
        <v/>
      </c>
      <c r="O126" s="9" t="inlineStr"/>
      <c r="P126" s="9" t="inlineStr"/>
      <c r="Q126" s="9" t="inlineStr"/>
      <c r="R126" s="9" t="inlineStr">
        <is>
          <t>T山本KC</t>
        </is>
      </c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>
        <f>HYPERLINK("#Schedule!F437", "HAYASHIKA (48991)")</f>
        <v/>
      </c>
      <c r="AC126" s="9" t="inlineStr"/>
      <c r="AD126" s="9">
        <f>HYPERLINK("#Schedule!F437", "HAYASHIKA (48991)")</f>
        <v/>
      </c>
      <c r="AE126" s="9" t="inlineStr"/>
      <c r="AF126" s="9" t="inlineStr"/>
      <c r="AG126" s="9" t="inlineStr"/>
      <c r="AH126" s="9" t="inlineStr"/>
      <c r="AI126" s="9" t="inlineStr"/>
      <c r="AJ126" s="9" t="inlineStr"/>
    </row>
    <row r="127">
      <c r="A127" s="1" t="inlineStr">
        <is>
          <t>49377-5</t>
        </is>
      </c>
      <c r="B127" s="1" t="inlineStr">
        <is>
          <t>TAJIMI SH</t>
        </is>
      </c>
      <c r="C127" s="1" t="inlineStr"/>
      <c r="D127" s="1" t="inlineStr">
        <is>
          <t>NTW003</t>
        </is>
      </c>
      <c r="E127" s="1" t="n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>
        <is>
          <t>T渡部 YU</t>
        </is>
      </c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</row>
    <row r="128">
      <c r="A128" s="1" t="inlineStr">
        <is>
          <t>37757-1</t>
        </is>
      </c>
      <c r="B128" s="1" t="inlineStr">
        <is>
          <t>KOJIMA MA</t>
        </is>
      </c>
      <c r="C128" s="1" t="inlineStr"/>
      <c r="D128" s="1" t="inlineStr">
        <is>
          <t>NTW003</t>
        </is>
      </c>
      <c r="E128" s="1" t="n"/>
      <c r="F128" s="4" t="inlineStr">
        <is>
          <t>小島 MA</t>
        </is>
      </c>
      <c r="G128" s="4" t="inlineStr">
        <is>
          <t>MA</t>
        </is>
      </c>
      <c r="H128" s="4" t="inlineStr">
        <is>
          <t>機種：</t>
        </is>
      </c>
      <c r="I128" s="4" t="inlineStr">
        <is>
          <t>787</t>
        </is>
      </c>
      <c r="J128" s="4" t="inlineStr">
        <is>
          <t>ランク：</t>
        </is>
      </c>
      <c r="K128" s="4" t="inlineStr">
        <is>
          <t>CAP</t>
        </is>
      </c>
      <c r="L128" s="4" t="inlineStr">
        <is>
          <t>期：</t>
        </is>
      </c>
      <c r="M128" s="4" t="inlineStr">
        <is>
          <t>職番：</t>
        </is>
      </c>
      <c r="N128" s="4" t="inlineStr">
        <is>
          <t>00037757</t>
        </is>
      </c>
      <c r="O128" s="4" t="inlineStr">
        <is>
          <t>所属：</t>
        </is>
      </c>
      <c r="P128" s="4" t="inlineStr">
        <is>
          <t>NTZNT</t>
        </is>
      </c>
      <c r="Q128" s="4" t="inlineStr">
        <is>
          <t>CAT資：</t>
        </is>
      </c>
      <c r="R128" s="4" t="inlineStr">
        <is>
          <t>CAT3</t>
        </is>
      </c>
      <c r="S128" s="4" t="inlineStr">
        <is>
          <t>T/O：</t>
        </is>
      </c>
      <c r="T128" s="4" t="inlineStr">
        <is>
          <t>3T251006</t>
        </is>
      </c>
      <c r="U128" s="4" t="inlineStr">
        <is>
          <t>L/D：</t>
        </is>
      </c>
      <c r="V128" s="4" t="inlineStr">
        <is>
          <t>3L251006</t>
        </is>
      </c>
      <c r="W128" s="4" t="inlineStr">
        <is>
          <t>PE：</t>
        </is>
      </c>
      <c r="X128" s="5" t="inlineStr">
        <is>
          <t>PE251005</t>
        </is>
      </c>
      <c r="Y128" s="4" t="inlineStr">
        <is>
          <t>誕生月：</t>
        </is>
      </c>
      <c r="Z128" s="4" t="inlineStr">
        <is>
          <t>02</t>
        </is>
      </c>
      <c r="AA128" s="6" t="inlineStr">
        <is>
          <t>電話：</t>
        </is>
      </c>
      <c r="AB128" s="6" t="inlineStr">
        <is>
          <t>043-463-7417</t>
        </is>
      </c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>
        <is>
          <t>NTW003</t>
        </is>
      </c>
    </row>
    <row r="129">
      <c r="A129" s="1" t="inlineStr">
        <is>
          <t>37757-2</t>
        </is>
      </c>
      <c r="B129" s="1" t="inlineStr">
        <is>
          <t>KOJIMA MA</t>
        </is>
      </c>
      <c r="C129" s="1" t="inlineStr"/>
      <c r="D129" s="1" t="inlineStr">
        <is>
          <t>NTW003</t>
        </is>
      </c>
      <c r="E129" s="1" t="n"/>
      <c r="F129" s="7" t="inlineStr">
        <is>
          <t>01</t>
        </is>
      </c>
      <c r="G129" s="7" t="inlineStr">
        <is>
          <t>02</t>
        </is>
      </c>
      <c r="H129" s="8" t="inlineStr">
        <is>
          <t>03</t>
        </is>
      </c>
      <c r="I129" s="8" t="inlineStr">
        <is>
          <t>04</t>
        </is>
      </c>
      <c r="J129" s="8" t="inlineStr">
        <is>
          <t>05</t>
        </is>
      </c>
      <c r="K129" s="8" t="inlineStr">
        <is>
          <t>06</t>
        </is>
      </c>
      <c r="L129" s="7" t="inlineStr">
        <is>
          <t>07</t>
        </is>
      </c>
      <c r="M129" s="7" t="inlineStr">
        <is>
          <t>08</t>
        </is>
      </c>
      <c r="N129" s="12" t="inlineStr">
        <is>
          <t>09</t>
        </is>
      </c>
      <c r="O129" s="12" t="inlineStr">
        <is>
          <t>10</t>
        </is>
      </c>
      <c r="P129" s="7" t="inlineStr">
        <is>
          <t>11</t>
        </is>
      </c>
      <c r="Q129" s="8" t="inlineStr">
        <is>
          <t>12</t>
        </is>
      </c>
      <c r="R129" s="7" t="inlineStr">
        <is>
          <t>13</t>
        </is>
      </c>
      <c r="S129" s="8" t="inlineStr">
        <is>
          <t>14</t>
        </is>
      </c>
      <c r="T129" s="7" t="inlineStr">
        <is>
          <t>15</t>
        </is>
      </c>
      <c r="U129" s="10" t="inlineStr">
        <is>
          <t>16</t>
        </is>
      </c>
      <c r="V129" s="7" t="inlineStr">
        <is>
          <t>17</t>
        </is>
      </c>
      <c r="W129" s="7" t="inlineStr">
        <is>
          <t>18</t>
        </is>
      </c>
      <c r="X129" s="7" t="inlineStr">
        <is>
          <t>19</t>
        </is>
      </c>
      <c r="Y129" s="7" t="inlineStr">
        <is>
          <t>20</t>
        </is>
      </c>
      <c r="Z129" s="7" t="inlineStr">
        <is>
          <t>21</t>
        </is>
      </c>
      <c r="AA129" s="7" t="inlineStr">
        <is>
          <t>22</t>
        </is>
      </c>
      <c r="AB129" s="7" t="inlineStr">
        <is>
          <t>23</t>
        </is>
      </c>
      <c r="AC129" s="7" t="inlineStr">
        <is>
          <t>24</t>
        </is>
      </c>
      <c r="AD129" s="7" t="inlineStr">
        <is>
          <t>25</t>
        </is>
      </c>
      <c r="AE129" s="7" t="inlineStr">
        <is>
          <t>26</t>
        </is>
      </c>
      <c r="AF129" s="7" t="inlineStr">
        <is>
          <t>27</t>
        </is>
      </c>
      <c r="AG129" s="8" t="inlineStr">
        <is>
          <t>28</t>
        </is>
      </c>
      <c r="AH129" s="8" t="inlineStr">
        <is>
          <t>29</t>
        </is>
      </c>
      <c r="AI129" s="7" t="inlineStr">
        <is>
          <t>30</t>
        </is>
      </c>
      <c r="AJ129" s="7" t="inlineStr">
        <is>
          <t>31</t>
        </is>
      </c>
    </row>
    <row r="130">
      <c r="A130" s="1" t="inlineStr">
        <is>
          <t>37757-3</t>
        </is>
      </c>
      <c r="B130" s="1" t="inlineStr">
        <is>
          <t>KOJIMA MA</t>
        </is>
      </c>
      <c r="C130" s="1" t="inlineStr"/>
      <c r="D130" s="1" t="inlineStr">
        <is>
          <t>NTW003</t>
        </is>
      </c>
      <c r="E130" s="1" t="n"/>
      <c r="F130" s="9" t="inlineStr">
        <is>
          <t>HH</t>
        </is>
      </c>
      <c r="G130" s="9" t="inlineStr">
        <is>
          <t>HH</t>
        </is>
      </c>
      <c r="H130" s="9" t="inlineStr">
        <is>
          <t>809
VLDE ISR</t>
        </is>
      </c>
      <c r="I130" s="9" t="inlineStr">
        <is>
          <t>802
VLDE ISR</t>
        </is>
      </c>
      <c r="J130" s="9" t="inlineStr">
        <is>
          <t>99
LEF ISR</t>
        </is>
      </c>
      <c r="K130" s="9" t="inlineStr">
        <is>
          <t>96
LEF ISR</t>
        </is>
      </c>
      <c r="L130" s="9" t="inlineStr">
        <is>
          <t>H</t>
        </is>
      </c>
      <c r="M130" s="9" t="inlineStr">
        <is>
          <t>H</t>
        </is>
      </c>
      <c r="N130" s="9" t="inlineStr">
        <is>
          <t>M21
TRN
#1
07:00-11:00</t>
        </is>
      </c>
      <c r="O130" s="9" t="inlineStr">
        <is>
          <t>M22
TRN
#2
17:00-21:00</t>
        </is>
      </c>
      <c r="P130" s="9" t="inlineStr">
        <is>
          <t>NTW1</t>
        </is>
      </c>
      <c r="Q130" s="9" t="inlineStr">
        <is>
          <t>725
CFM ISR</t>
        </is>
      </c>
      <c r="R130" s="9" t="inlineStr">
        <is>
          <t>---</t>
        </is>
      </c>
      <c r="S130" s="9" t="inlineStr">
        <is>
          <t>726
CFM ISR</t>
        </is>
      </c>
      <c r="T130" s="9" t="inlineStr">
        <is>
          <t>H</t>
        </is>
      </c>
      <c r="U130" s="9" t="inlineStr">
        <is>
          <t>M21
ISR
#2
15:00-19:00</t>
        </is>
      </c>
      <c r="V130" s="9" t="inlineStr">
        <is>
          <t>H/VAC</t>
        </is>
      </c>
      <c r="W130" s="9" t="inlineStr">
        <is>
          <t>H/VAC</t>
        </is>
      </c>
      <c r="X130" s="9" t="inlineStr">
        <is>
          <t>VAC</t>
        </is>
      </c>
      <c r="Y130" s="9" t="inlineStr">
        <is>
          <t>R</t>
        </is>
      </c>
      <c r="Z130" s="9" t="inlineStr">
        <is>
          <t>MTG1</t>
        </is>
      </c>
      <c r="AA130" s="9" t="inlineStr">
        <is>
          <t>95</t>
        </is>
      </c>
      <c r="AB130" s="9" t="inlineStr">
        <is>
          <t>---</t>
        </is>
      </c>
      <c r="AC130" s="9" t="inlineStr">
        <is>
          <t>90
225DH</t>
        </is>
      </c>
      <c r="AD130" s="9" t="inlineStr">
        <is>
          <t>891
894
134DH</t>
        </is>
      </c>
      <c r="AE130" s="9" t="inlineStr">
        <is>
          <t>H/VAC</t>
        </is>
      </c>
      <c r="AF130" s="9" t="inlineStr">
        <is>
          <t>H/VAC</t>
        </is>
      </c>
      <c r="AG130" s="9" t="inlineStr">
        <is>
          <t>25
FOTR ISR</t>
        </is>
      </c>
      <c r="AH130" s="9" t="inlineStr">
        <is>
          <t>20
FOTR ISR</t>
        </is>
      </c>
      <c r="AI130" s="9" t="inlineStr">
        <is>
          <t>H</t>
        </is>
      </c>
      <c r="AJ130" s="9" t="inlineStr">
        <is>
          <t>59</t>
        </is>
      </c>
    </row>
    <row r="131">
      <c r="A131" s="1" t="inlineStr">
        <is>
          <t>37757-4</t>
        </is>
      </c>
      <c r="B131" s="1" t="inlineStr">
        <is>
          <t>KOJIMA MA</t>
        </is>
      </c>
      <c r="C131" s="1" t="inlineStr"/>
      <c r="D131" s="1" t="inlineStr">
        <is>
          <t>NTW003</t>
        </is>
      </c>
      <c r="E131" s="1" t="n"/>
      <c r="F131" s="9" t="inlineStr"/>
      <c r="G131" s="9" t="inlineStr"/>
      <c r="H131" s="9">
        <f>HYPERLINK("#Schedule!F311", "KANEHARAMO (51867)")</f>
        <v/>
      </c>
      <c r="I131" s="9">
        <f>HYPERLINK("#Schedule!F311", "KANEHARAMO (51867)")</f>
        <v/>
      </c>
      <c r="J131" s="9" t="inlineStr"/>
      <c r="K131" s="9" t="inlineStr"/>
      <c r="L131" s="9" t="inlineStr"/>
      <c r="M131" s="9" t="inlineStr"/>
      <c r="N131" s="9">
        <f>HYPERLINK("#Schedule!F41", "I加藤 TK (36749)")</f>
        <v/>
      </c>
      <c r="O131" s="9" t="inlineStr">
        <is>
          <t>I福島 JU</t>
        </is>
      </c>
      <c r="P131" s="9" t="inlineStr"/>
      <c r="Q131" s="9" t="inlineStr"/>
      <c r="R131" s="9" t="inlineStr"/>
      <c r="S131" s="9" t="inlineStr"/>
      <c r="T131" s="9" t="inlineStr"/>
      <c r="U131" s="9" t="inlineStr">
        <is>
          <t>I山本KC</t>
        </is>
      </c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inlineStr"/>
      <c r="AE131" s="9" t="inlineStr"/>
      <c r="AF131" s="9" t="inlineStr"/>
      <c r="AG131" s="9" t="inlineStr"/>
      <c r="AH131" s="9" t="inlineStr"/>
      <c r="AI131" s="9" t="inlineStr"/>
      <c r="AJ131" s="9" t="inlineStr"/>
    </row>
    <row r="132">
      <c r="A132" s="1" t="inlineStr">
        <is>
          <t>37757-5</t>
        </is>
      </c>
      <c r="B132" s="1" t="inlineStr">
        <is>
          <t>KOJIMA MA</t>
        </is>
      </c>
      <c r="C132" s="1" t="inlineStr"/>
      <c r="D132" s="1" t="inlineStr">
        <is>
          <t>NTW003</t>
        </is>
      </c>
      <c r="E132" s="1" t="n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11">
        <f>HYPERLINK("#Schedule!F138", "I安藤 YU (37725)")</f>
        <v/>
      </c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</row>
    <row r="133">
      <c r="A133" s="1" t="inlineStr">
        <is>
          <t>36149-1</t>
        </is>
      </c>
      <c r="B133" s="1" t="inlineStr">
        <is>
          <t>OKA HD</t>
        </is>
      </c>
      <c r="C133" s="1" t="inlineStr"/>
      <c r="D133" s="1" t="inlineStr">
        <is>
          <t>NTW003</t>
        </is>
      </c>
      <c r="E133" s="1" t="n"/>
      <c r="F133" s="4" t="inlineStr">
        <is>
          <t>岡 HD</t>
        </is>
      </c>
      <c r="G133" s="4" t="inlineStr">
        <is>
          <t>HD</t>
        </is>
      </c>
      <c r="H133" s="4" t="inlineStr">
        <is>
          <t>機種：</t>
        </is>
      </c>
      <c r="I133" s="4" t="inlineStr">
        <is>
          <t>787</t>
        </is>
      </c>
      <c r="J133" s="4" t="inlineStr">
        <is>
          <t>ランク：</t>
        </is>
      </c>
      <c r="K133" s="4" t="inlineStr">
        <is>
          <t>CAP</t>
        </is>
      </c>
      <c r="L133" s="4" t="inlineStr">
        <is>
          <t>期：</t>
        </is>
      </c>
      <c r="M133" s="4" t="inlineStr">
        <is>
          <t>職番：</t>
        </is>
      </c>
      <c r="N133" s="4" t="inlineStr">
        <is>
          <t>00036149</t>
        </is>
      </c>
      <c r="O133" s="4" t="inlineStr">
        <is>
          <t>所属：</t>
        </is>
      </c>
      <c r="P133" s="4" t="inlineStr">
        <is>
          <t>NTZNT</t>
        </is>
      </c>
      <c r="Q133" s="4" t="inlineStr">
        <is>
          <t>CAT資：</t>
        </is>
      </c>
      <c r="R133" s="4" t="inlineStr">
        <is>
          <t>CAT3</t>
        </is>
      </c>
      <c r="S133" s="4" t="inlineStr">
        <is>
          <t>T/O：</t>
        </is>
      </c>
      <c r="T133" s="4" t="inlineStr">
        <is>
          <t>3T250916</t>
        </is>
      </c>
      <c r="U133" s="4" t="inlineStr">
        <is>
          <t>L/D：</t>
        </is>
      </c>
      <c r="V133" s="4" t="inlineStr">
        <is>
          <t>3L250914</t>
        </is>
      </c>
      <c r="W133" s="4" t="inlineStr">
        <is>
          <t>PE：</t>
        </is>
      </c>
      <c r="X133" s="5" t="inlineStr">
        <is>
          <t>PE250923</t>
        </is>
      </c>
      <c r="Y133" s="4" t="inlineStr">
        <is>
          <t>誕生月：</t>
        </is>
      </c>
      <c r="Z133" s="4" t="inlineStr">
        <is>
          <t>11</t>
        </is>
      </c>
      <c r="AA133" s="6" t="inlineStr">
        <is>
          <t>電話：</t>
        </is>
      </c>
      <c r="AB133" s="6" t="inlineStr">
        <is>
          <t>043-463-1753</t>
        </is>
      </c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>
        <is>
          <t>NTW003</t>
        </is>
      </c>
    </row>
    <row r="134">
      <c r="A134" s="1" t="inlineStr">
        <is>
          <t>36149-2</t>
        </is>
      </c>
      <c r="B134" s="1" t="inlineStr">
        <is>
          <t>OKA HD</t>
        </is>
      </c>
      <c r="C134" s="1" t="inlineStr"/>
      <c r="D134" s="1" t="inlineStr">
        <is>
          <t>NTW003</t>
        </is>
      </c>
      <c r="E134" s="1" t="n"/>
      <c r="F134" s="7" t="inlineStr">
        <is>
          <t>01</t>
        </is>
      </c>
      <c r="G134" s="7" t="inlineStr">
        <is>
          <t>02</t>
        </is>
      </c>
      <c r="H134" s="7" t="inlineStr">
        <is>
          <t>03</t>
        </is>
      </c>
      <c r="I134" s="7" t="inlineStr">
        <is>
          <t>04</t>
        </is>
      </c>
      <c r="J134" s="7" t="inlineStr">
        <is>
          <t>05</t>
        </is>
      </c>
      <c r="K134" s="7" t="inlineStr">
        <is>
          <t>06</t>
        </is>
      </c>
      <c r="L134" s="8" t="inlineStr">
        <is>
          <t>07</t>
        </is>
      </c>
      <c r="M134" s="7" t="inlineStr">
        <is>
          <t>08</t>
        </is>
      </c>
      <c r="N134" s="7" t="inlineStr">
        <is>
          <t>09</t>
        </is>
      </c>
      <c r="O134" s="7" t="inlineStr">
        <is>
          <t>10</t>
        </is>
      </c>
      <c r="P134" s="7" t="inlineStr">
        <is>
          <t>11</t>
        </is>
      </c>
      <c r="Q134" s="7" t="inlineStr">
        <is>
          <t>12</t>
        </is>
      </c>
      <c r="R134" s="7" t="inlineStr">
        <is>
          <t>13</t>
        </is>
      </c>
      <c r="S134" s="7" t="inlineStr">
        <is>
          <t>14</t>
        </is>
      </c>
      <c r="T134" s="7" t="inlineStr">
        <is>
          <t>15</t>
        </is>
      </c>
      <c r="U134" s="7" t="inlineStr">
        <is>
          <t>16</t>
        </is>
      </c>
      <c r="V134" s="8" t="inlineStr">
        <is>
          <t>17</t>
        </is>
      </c>
      <c r="W134" s="8" t="inlineStr">
        <is>
          <t>18</t>
        </is>
      </c>
      <c r="X134" s="7" t="inlineStr">
        <is>
          <t>19</t>
        </is>
      </c>
      <c r="Y134" s="7" t="inlineStr">
        <is>
          <t>20</t>
        </is>
      </c>
      <c r="Z134" s="7" t="inlineStr">
        <is>
          <t>21</t>
        </is>
      </c>
      <c r="AA134" s="7" t="inlineStr">
        <is>
          <t>22</t>
        </is>
      </c>
      <c r="AB134" s="7" t="inlineStr">
        <is>
          <t>23</t>
        </is>
      </c>
      <c r="AC134" s="7" t="inlineStr">
        <is>
          <t>24</t>
        </is>
      </c>
      <c r="AD134" s="7" t="inlineStr">
        <is>
          <t>25</t>
        </is>
      </c>
      <c r="AE134" s="7" t="inlineStr">
        <is>
          <t>26</t>
        </is>
      </c>
      <c r="AF134" s="7" t="inlineStr">
        <is>
          <t>27</t>
        </is>
      </c>
      <c r="AG134" s="7" t="inlineStr">
        <is>
          <t>28</t>
        </is>
      </c>
      <c r="AH134" s="7" t="inlineStr">
        <is>
          <t>29</t>
        </is>
      </c>
      <c r="AI134" s="7" t="inlineStr">
        <is>
          <t>30</t>
        </is>
      </c>
      <c r="AJ134" s="7" t="inlineStr">
        <is>
          <t>31</t>
        </is>
      </c>
    </row>
    <row r="135">
      <c r="A135" s="1" t="inlineStr">
        <is>
          <t>36149-3</t>
        </is>
      </c>
      <c r="B135" s="1" t="inlineStr">
        <is>
          <t>OKA HD</t>
        </is>
      </c>
      <c r="C135" s="1" t="inlineStr"/>
      <c r="D135" s="1" t="inlineStr">
        <is>
          <t>NTW003</t>
        </is>
      </c>
      <c r="E135" s="1" t="n"/>
      <c r="F135" s="9" t="inlineStr">
        <is>
          <t>---</t>
        </is>
      </c>
      <c r="G135" s="9" t="inlineStr">
        <is>
          <t>408DH</t>
        </is>
      </c>
      <c r="H135" s="9" t="inlineStr">
        <is>
          <t>*H</t>
        </is>
      </c>
      <c r="I135" s="9" t="inlineStr">
        <is>
          <t>*H</t>
        </is>
      </c>
      <c r="J135" s="9" t="inlineStr">
        <is>
          <t>SX</t>
        </is>
      </c>
      <c r="K135" s="9" t="inlineStr">
        <is>
          <t>ISR
ISR
#2
11:00-15:00</t>
        </is>
      </c>
      <c r="L135" s="9" t="inlineStr">
        <is>
          <t>111
FORF ISR
114</t>
        </is>
      </c>
      <c r="M135" s="9" t="inlineStr">
        <is>
          <t>H</t>
        </is>
      </c>
      <c r="N135" s="9" t="inlineStr">
        <is>
          <t>CMD
ISR
#2
09:00-13:00</t>
        </is>
      </c>
      <c r="O135" s="9" t="inlineStr">
        <is>
          <t>H</t>
        </is>
      </c>
      <c r="P135" s="9" t="inlineStr">
        <is>
          <t>H</t>
        </is>
      </c>
      <c r="Q135" s="9" t="inlineStr">
        <is>
          <t>SX</t>
        </is>
      </c>
      <c r="R135" s="9" t="inlineStr">
        <is>
          <t>SX</t>
        </is>
      </c>
      <c r="S135" s="9" t="inlineStr">
        <is>
          <t>VAC</t>
        </is>
      </c>
      <c r="T135" s="9" t="inlineStr">
        <is>
          <t>*H</t>
        </is>
      </c>
      <c r="U135" s="9" t="inlineStr">
        <is>
          <t>H</t>
        </is>
      </c>
      <c r="V135" s="9" t="inlineStr">
        <is>
          <t>87
ISRE ISR</t>
        </is>
      </c>
      <c r="W135" s="9" t="inlineStr">
        <is>
          <t>88
ISRE ISR</t>
        </is>
      </c>
      <c r="X135" s="9" t="inlineStr">
        <is>
          <t>729</t>
        </is>
      </c>
      <c r="Y135" s="9" t="inlineStr">
        <is>
          <t>---</t>
        </is>
      </c>
      <c r="Z135" s="9" t="inlineStr">
        <is>
          <t>---</t>
        </is>
      </c>
      <c r="AA135" s="9" t="inlineStr">
        <is>
          <t>720</t>
        </is>
      </c>
      <c r="AB135" s="9" t="inlineStr">
        <is>
          <t>H</t>
        </is>
      </c>
      <c r="AC135" s="9" t="inlineStr">
        <is>
          <t>H</t>
        </is>
      </c>
      <c r="AD135" s="9" t="inlineStr">
        <is>
          <t>MIDNIT</t>
        </is>
      </c>
      <c r="AE135" s="9" t="inlineStr">
        <is>
          <t>79</t>
        </is>
      </c>
      <c r="AF135" s="9" t="inlineStr">
        <is>
          <t>750</t>
        </is>
      </c>
      <c r="AG135" s="9" t="inlineStr">
        <is>
          <t>H</t>
        </is>
      </c>
      <c r="AH135" s="9" t="inlineStr">
        <is>
          <t>GMT1</t>
        </is>
      </c>
      <c r="AI135" s="9" t="inlineStr">
        <is>
          <t>39</t>
        </is>
      </c>
      <c r="AJ135" s="9" t="inlineStr">
        <is>
          <t>---</t>
        </is>
      </c>
    </row>
    <row r="136">
      <c r="A136" s="1" t="inlineStr">
        <is>
          <t>36149-4</t>
        </is>
      </c>
      <c r="B136" s="1" t="inlineStr">
        <is>
          <t>OKA HD</t>
        </is>
      </c>
      <c r="C136" s="1" t="inlineStr"/>
      <c r="D136" s="1" t="inlineStr">
        <is>
          <t>NTW003</t>
        </is>
      </c>
      <c r="E136" s="1" t="n"/>
      <c r="F136" s="9" t="inlineStr"/>
      <c r="G136" s="9" t="inlineStr"/>
      <c r="H136" s="9" t="inlineStr"/>
      <c r="I136" s="9" t="inlineStr"/>
      <c r="J136" s="9" t="inlineStr"/>
      <c r="K136" s="9" t="inlineStr">
        <is>
          <t>T山本KC</t>
        </is>
      </c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>
        <f>HYPERLINK("#Schedule!F243", "山崎 KE (37255)")</f>
        <v/>
      </c>
      <c r="W136" s="9">
        <f>HYPERLINK("#Schedule!F243", "山崎 KE (37255)")</f>
        <v/>
      </c>
      <c r="X136" s="9" t="inlineStr"/>
      <c r="Y136" s="9" t="inlineStr"/>
      <c r="Z136" s="9" t="inlineStr"/>
      <c r="AA136" s="9" t="inlineStr"/>
      <c r="AB136" s="9" t="inlineStr"/>
      <c r="AC136" s="9" t="inlineStr"/>
      <c r="AD136" s="9" t="inlineStr"/>
      <c r="AE136" s="9" t="inlineStr"/>
      <c r="AF136" s="9" t="inlineStr"/>
      <c r="AG136" s="9" t="inlineStr"/>
      <c r="AH136" s="9" t="inlineStr"/>
      <c r="AI136" s="9">
        <f>HYPERLINK("#Schedule!F221", "中村TS (48009)")</f>
        <v/>
      </c>
      <c r="AJ136" s="9" t="inlineStr"/>
    </row>
    <row r="137">
      <c r="A137" s="1" t="inlineStr">
        <is>
          <t>36149-5</t>
        </is>
      </c>
      <c r="B137" s="1" t="inlineStr">
        <is>
          <t>OKA HD</t>
        </is>
      </c>
      <c r="C137" s="1" t="inlineStr"/>
      <c r="D137" s="1" t="inlineStr">
        <is>
          <t>NTW003</t>
        </is>
      </c>
      <c r="E137" s="1" t="n"/>
      <c r="F137" s="9" t="inlineStr"/>
      <c r="G137" s="9" t="inlineStr"/>
      <c r="H137" s="9" t="inlineStr"/>
      <c r="I137" s="9" t="inlineStr"/>
      <c r="J137" s="9" t="inlineStr"/>
      <c r="K137" s="9" t="inlineStr">
        <is>
          <t>T渡部 YU</t>
        </is>
      </c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>
        <f>HYPERLINK("#Schedule!F383", "SEKIYO (53828)")</f>
        <v/>
      </c>
      <c r="W137" s="9">
        <f>HYPERLINK("#Schedule!F383", "SEKIYO (53828)")</f>
        <v/>
      </c>
      <c r="X137" s="9" t="inlineStr"/>
      <c r="Y137" s="9" t="inlineStr"/>
      <c r="Z137" s="9" t="inlineStr"/>
      <c r="AA137" s="9" t="inlineStr"/>
      <c r="AB137" s="9" t="inlineStr"/>
      <c r="AC137" s="9" t="inlineStr"/>
      <c r="AD137" s="9" t="inlineStr"/>
      <c r="AE137" s="9" t="inlineStr"/>
      <c r="AF137" s="9" t="inlineStr"/>
      <c r="AG137" s="9" t="inlineStr"/>
      <c r="AH137" s="9" t="inlineStr"/>
      <c r="AI137" s="9" t="inlineStr"/>
      <c r="AJ137" s="9" t="inlineStr"/>
    </row>
    <row r="138">
      <c r="A138" s="1" t="inlineStr">
        <is>
          <t>37725-1</t>
        </is>
      </c>
      <c r="B138" s="1" t="inlineStr">
        <is>
          <t>ANDO YU</t>
        </is>
      </c>
      <c r="C138" s="1" t="inlineStr"/>
      <c r="D138" s="1" t="inlineStr">
        <is>
          <t>NTW003</t>
        </is>
      </c>
      <c r="E138" s="1" t="n"/>
      <c r="F138" s="4" t="inlineStr">
        <is>
          <t>安藤 YU</t>
        </is>
      </c>
      <c r="G138" s="4" t="inlineStr">
        <is>
          <t>YU</t>
        </is>
      </c>
      <c r="H138" s="4" t="inlineStr">
        <is>
          <t>機種：</t>
        </is>
      </c>
      <c r="I138" s="4" t="inlineStr">
        <is>
          <t>787</t>
        </is>
      </c>
      <c r="J138" s="4" t="inlineStr">
        <is>
          <t>ランク：</t>
        </is>
      </c>
      <c r="K138" s="4" t="inlineStr">
        <is>
          <t>CAP</t>
        </is>
      </c>
      <c r="L138" s="4" t="inlineStr">
        <is>
          <t>期：</t>
        </is>
      </c>
      <c r="M138" s="4" t="inlineStr">
        <is>
          <t>職番：</t>
        </is>
      </c>
      <c r="N138" s="4" t="inlineStr">
        <is>
          <t>00037725</t>
        </is>
      </c>
      <c r="O138" s="4" t="inlineStr">
        <is>
          <t>所属：</t>
        </is>
      </c>
      <c r="P138" s="4" t="inlineStr">
        <is>
          <t>NTZNT</t>
        </is>
      </c>
      <c r="Q138" s="4" t="inlineStr">
        <is>
          <t>CAT資：</t>
        </is>
      </c>
      <c r="R138" s="4" t="inlineStr">
        <is>
          <t>CAT3</t>
        </is>
      </c>
      <c r="S138" s="4" t="inlineStr">
        <is>
          <t>T/O：</t>
        </is>
      </c>
      <c r="T138" s="4" t="inlineStr">
        <is>
          <t>3T251007</t>
        </is>
      </c>
      <c r="U138" s="4" t="inlineStr">
        <is>
          <t>L/D：</t>
        </is>
      </c>
      <c r="V138" s="4" t="inlineStr">
        <is>
          <t>3L251007</t>
        </is>
      </c>
      <c r="W138" s="4" t="inlineStr">
        <is>
          <t>PE：</t>
        </is>
      </c>
      <c r="X138" s="5" t="inlineStr">
        <is>
          <t>PE251115</t>
        </is>
      </c>
      <c r="Y138" s="4" t="inlineStr">
        <is>
          <t>誕生月：</t>
        </is>
      </c>
      <c r="Z138" s="4" t="inlineStr">
        <is>
          <t>09</t>
        </is>
      </c>
      <c r="AA138" s="6" t="inlineStr">
        <is>
          <t>電話：</t>
        </is>
      </c>
      <c r="AB138" s="6" t="inlineStr">
        <is>
          <t>045-542-6774</t>
        </is>
      </c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>
        <is>
          <t>NTW003</t>
        </is>
      </c>
    </row>
    <row r="139">
      <c r="A139" s="1" t="inlineStr">
        <is>
          <t>37725-2</t>
        </is>
      </c>
      <c r="B139" s="1" t="inlineStr">
        <is>
          <t>ANDO YU</t>
        </is>
      </c>
      <c r="C139" s="1" t="inlineStr"/>
      <c r="D139" s="1" t="inlineStr">
        <is>
          <t>NTW003</t>
        </is>
      </c>
      <c r="E139" s="1" t="n"/>
      <c r="F139" s="7" t="inlineStr">
        <is>
          <t>01</t>
        </is>
      </c>
      <c r="G139" s="7" t="inlineStr">
        <is>
          <t>02</t>
        </is>
      </c>
      <c r="H139" s="7" t="inlineStr">
        <is>
          <t>03</t>
        </is>
      </c>
      <c r="I139" s="7" t="inlineStr">
        <is>
          <t>04</t>
        </is>
      </c>
      <c r="J139" s="7" t="inlineStr">
        <is>
          <t>05</t>
        </is>
      </c>
      <c r="K139" s="7" t="inlineStr">
        <is>
          <t>06</t>
        </is>
      </c>
      <c r="L139" s="7" t="inlineStr">
        <is>
          <t>07</t>
        </is>
      </c>
      <c r="M139" s="7" t="inlineStr">
        <is>
          <t>08</t>
        </is>
      </c>
      <c r="N139" s="10" t="inlineStr">
        <is>
          <t>09</t>
        </is>
      </c>
      <c r="O139" s="7" t="inlineStr">
        <is>
          <t>10</t>
        </is>
      </c>
      <c r="P139" s="7" t="inlineStr">
        <is>
          <t>11</t>
        </is>
      </c>
      <c r="Q139" s="12" t="inlineStr">
        <is>
          <t>12</t>
        </is>
      </c>
      <c r="R139" s="7" t="inlineStr">
        <is>
          <t>13</t>
        </is>
      </c>
      <c r="S139" s="7" t="inlineStr">
        <is>
          <t>14</t>
        </is>
      </c>
      <c r="T139" s="7" t="inlineStr">
        <is>
          <t>15</t>
        </is>
      </c>
      <c r="U139" s="7" t="inlineStr">
        <is>
          <t>16</t>
        </is>
      </c>
      <c r="V139" s="7" t="inlineStr">
        <is>
          <t>17</t>
        </is>
      </c>
      <c r="W139" s="7" t="inlineStr">
        <is>
          <t>18</t>
        </is>
      </c>
      <c r="X139" s="7" t="inlineStr">
        <is>
          <t>19</t>
        </is>
      </c>
      <c r="Y139" s="7" t="inlineStr">
        <is>
          <t>20</t>
        </is>
      </c>
      <c r="Z139" s="7" t="inlineStr">
        <is>
          <t>21</t>
        </is>
      </c>
      <c r="AA139" s="8" t="inlineStr">
        <is>
          <t>22</t>
        </is>
      </c>
      <c r="AB139" s="7" t="inlineStr">
        <is>
          <t>23</t>
        </is>
      </c>
      <c r="AC139" s="7" t="inlineStr">
        <is>
          <t>24</t>
        </is>
      </c>
      <c r="AD139" s="7" t="inlineStr">
        <is>
          <t>25</t>
        </is>
      </c>
      <c r="AE139" s="7" t="inlineStr">
        <is>
          <t>26</t>
        </is>
      </c>
      <c r="AF139" s="7" t="inlineStr">
        <is>
          <t>27</t>
        </is>
      </c>
      <c r="AG139" s="7" t="inlineStr">
        <is>
          <t>28</t>
        </is>
      </c>
      <c r="AH139" s="7" t="inlineStr">
        <is>
          <t>29</t>
        </is>
      </c>
      <c r="AI139" s="7" t="inlineStr">
        <is>
          <t>30</t>
        </is>
      </c>
      <c r="AJ139" s="7" t="inlineStr">
        <is>
          <t>31</t>
        </is>
      </c>
    </row>
    <row r="140">
      <c r="A140" s="1" t="inlineStr">
        <is>
          <t>37725-3</t>
        </is>
      </c>
      <c r="B140" s="1" t="inlineStr">
        <is>
          <t>ANDO YU</t>
        </is>
      </c>
      <c r="C140" s="1" t="inlineStr"/>
      <c r="D140" s="1" t="inlineStr">
        <is>
          <t>NTW003</t>
        </is>
      </c>
      <c r="E140" s="1" t="n"/>
      <c r="F140" s="9" t="inlineStr">
        <is>
          <t>---</t>
        </is>
      </c>
      <c r="G140" s="9" t="inlineStr">
        <is>
          <t>---</t>
        </is>
      </c>
      <c r="H140" s="9" t="inlineStr">
        <is>
          <t>720</t>
        </is>
      </c>
      <c r="I140" s="9" t="inlineStr">
        <is>
          <t>*H</t>
        </is>
      </c>
      <c r="J140" s="9" t="inlineStr">
        <is>
          <t>CMD
ISR
#2
15:00-19:00</t>
        </is>
      </c>
      <c r="K140" s="9" t="inlineStr">
        <is>
          <t>H</t>
        </is>
      </c>
      <c r="L140" s="9" t="inlineStr">
        <is>
          <t>H</t>
        </is>
      </c>
      <c r="M140" s="9" t="inlineStr">
        <is>
          <t>H</t>
        </is>
      </c>
      <c r="N140" s="9" t="inlineStr">
        <is>
          <t>M21
ISR
#1
07:00-11:00</t>
        </is>
      </c>
      <c r="O140" s="9" t="inlineStr">
        <is>
          <t>ISR
ISR
#2
11:00-15:00</t>
        </is>
      </c>
      <c r="P140" s="9" t="inlineStr">
        <is>
          <t>H</t>
        </is>
      </c>
      <c r="Q140" s="9" t="inlineStr">
        <is>
          <t>107DH
114
QPR_ TRN</t>
        </is>
      </c>
      <c r="R140" s="9" t="inlineStr">
        <is>
          <t>74</t>
        </is>
      </c>
      <c r="S140" s="9" t="inlineStr">
        <is>
          <t>---</t>
        </is>
      </c>
      <c r="T140" s="9" t="inlineStr">
        <is>
          <t>73</t>
        </is>
      </c>
      <c r="U140" s="9" t="inlineStr">
        <is>
          <t>HH</t>
        </is>
      </c>
      <c r="V140" s="9" t="inlineStr">
        <is>
          <t>HH</t>
        </is>
      </c>
      <c r="W140" s="9" t="inlineStr">
        <is>
          <t>NTW1</t>
        </is>
      </c>
      <c r="X140" s="9" t="inlineStr">
        <is>
          <t>NTW1</t>
        </is>
      </c>
      <c r="Y140" s="9" t="inlineStr">
        <is>
          <t>MTG1</t>
        </is>
      </c>
      <c r="Z140" s="9" t="inlineStr">
        <is>
          <t>MTG1</t>
        </is>
      </c>
      <c r="AA140" s="9" t="inlineStr">
        <is>
          <t>23
CMD ISR
24
CMD ISR</t>
        </is>
      </c>
      <c r="AB140" s="9" t="inlineStr">
        <is>
          <t>H</t>
        </is>
      </c>
      <c r="AC140" s="9" t="inlineStr">
        <is>
          <t>H</t>
        </is>
      </c>
      <c r="AD140" s="9" t="inlineStr">
        <is>
          <t>PH3
ISR</t>
        </is>
      </c>
      <c r="AE140" s="9" t="inlineStr">
        <is>
          <t>111
114</t>
        </is>
      </c>
      <c r="AF140" s="9" t="inlineStr">
        <is>
          <t>H</t>
        </is>
      </c>
      <c r="AG140" s="9" t="inlineStr">
        <is>
          <t>NTW1</t>
        </is>
      </c>
      <c r="AH140" s="9" t="inlineStr">
        <is>
          <t>GMT1</t>
        </is>
      </c>
      <c r="AI140" s="9" t="inlineStr">
        <is>
          <t>18</t>
        </is>
      </c>
      <c r="AJ140" s="9" t="inlineStr">
        <is>
          <t>---</t>
        </is>
      </c>
    </row>
    <row r="141">
      <c r="A141" s="1" t="inlineStr">
        <is>
          <t>37725-4</t>
        </is>
      </c>
      <c r="B141" s="1" t="inlineStr">
        <is>
          <t>ANDO YU</t>
        </is>
      </c>
      <c r="C141" s="1" t="inlineStr"/>
      <c r="D141" s="1" t="inlineStr">
        <is>
          <t>NTW003</t>
        </is>
      </c>
      <c r="E141" s="1" t="n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>
        <f>HYPERLINK("#Schedule!F41", "I加藤 TK (36749)")</f>
        <v/>
      </c>
      <c r="O141" s="9">
        <f>HYPERLINK("#Schedule!F64", "I儀同 TO (43998)")</f>
        <v/>
      </c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>
        <f>HYPERLINK("#Schedule!F392", "HAYASAKAMA (44520)")</f>
        <v/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>
        <f>HYPERLINK("#Schedule!F90", "西野 HI (39361)")</f>
        <v/>
      </c>
      <c r="AJ141" s="9" t="inlineStr"/>
    </row>
    <row r="142">
      <c r="A142" s="1" t="inlineStr">
        <is>
          <t>37725-5</t>
        </is>
      </c>
      <c r="B142" s="1" t="inlineStr">
        <is>
          <t>ANDO YU</t>
        </is>
      </c>
      <c r="C142" s="1" t="inlineStr"/>
      <c r="D142" s="1" t="inlineStr">
        <is>
          <t>NTW003</t>
        </is>
      </c>
      <c r="E142" s="1" t="n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11">
        <f>HYPERLINK("#Schedule!F128", "T小島 MA (37757)")</f>
        <v/>
      </c>
      <c r="O142" s="11">
        <f>HYPERLINK("#Schedule!F111", "I高橋  (44524)")</f>
        <v/>
      </c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inlineStr"/>
      <c r="AE142" s="9" t="inlineStr"/>
      <c r="AF142" s="9" t="inlineStr"/>
      <c r="AG142" s="9" t="inlineStr"/>
      <c r="AH142" s="9" t="inlineStr"/>
      <c r="AI142" s="9" t="inlineStr"/>
      <c r="AJ142" s="9" t="inlineStr"/>
    </row>
    <row r="143">
      <c r="A143" s="1" t="inlineStr">
        <is>
          <t>37736-1</t>
        </is>
      </c>
      <c r="B143" s="1" t="inlineStr">
        <is>
          <t>YAMAMOTO ST</t>
        </is>
      </c>
      <c r="C143" s="1" t="inlineStr"/>
      <c r="D143" s="1" t="inlineStr">
        <is>
          <t>NTW003</t>
        </is>
      </c>
      <c r="E143" s="1" t="n"/>
      <c r="F143" s="4" t="inlineStr">
        <is>
          <t>山本 ST</t>
        </is>
      </c>
      <c r="G143" s="4" t="inlineStr">
        <is>
          <t>ST</t>
        </is>
      </c>
      <c r="H143" s="4" t="inlineStr">
        <is>
          <t>機種：</t>
        </is>
      </c>
      <c r="I143" s="4" t="inlineStr">
        <is>
          <t>787</t>
        </is>
      </c>
      <c r="J143" s="4" t="inlineStr">
        <is>
          <t>ランク：</t>
        </is>
      </c>
      <c r="K143" s="4" t="inlineStr">
        <is>
          <t>CAP</t>
        </is>
      </c>
      <c r="L143" s="4" t="inlineStr">
        <is>
          <t>期：</t>
        </is>
      </c>
      <c r="M143" s="4" t="inlineStr">
        <is>
          <t>職番：</t>
        </is>
      </c>
      <c r="N143" s="4" t="inlineStr">
        <is>
          <t>00037736</t>
        </is>
      </c>
      <c r="O143" s="4" t="inlineStr">
        <is>
          <t>所属：</t>
        </is>
      </c>
      <c r="P143" s="4" t="inlineStr">
        <is>
          <t>NTZNT</t>
        </is>
      </c>
      <c r="Q143" s="4" t="inlineStr">
        <is>
          <t>CAT資：</t>
        </is>
      </c>
      <c r="R143" s="4" t="inlineStr">
        <is>
          <t>CAT3</t>
        </is>
      </c>
      <c r="S143" s="4" t="inlineStr">
        <is>
          <t>T/O：</t>
        </is>
      </c>
      <c r="T143" s="4" t="inlineStr">
        <is>
          <t>3T250904</t>
        </is>
      </c>
      <c r="U143" s="4" t="inlineStr">
        <is>
          <t>L/D：</t>
        </is>
      </c>
      <c r="V143" s="4" t="inlineStr">
        <is>
          <t>3L250903</t>
        </is>
      </c>
      <c r="W143" s="4" t="inlineStr">
        <is>
          <t>PE：</t>
        </is>
      </c>
      <c r="X143" s="5" t="inlineStr">
        <is>
          <t>PE251011</t>
        </is>
      </c>
      <c r="Y143" s="4" t="inlineStr">
        <is>
          <t>誕生月：</t>
        </is>
      </c>
      <c r="Z143" s="4" t="inlineStr">
        <is>
          <t>07</t>
        </is>
      </c>
      <c r="AA143" s="6" t="inlineStr">
        <is>
          <t>電話：</t>
        </is>
      </c>
      <c r="AB143" s="6" t="inlineStr">
        <is>
          <t>090-2149-2523</t>
        </is>
      </c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>
        <is>
          <t>NTW003</t>
        </is>
      </c>
    </row>
    <row r="144">
      <c r="A144" s="1" t="inlineStr">
        <is>
          <t>37736-2</t>
        </is>
      </c>
      <c r="B144" s="1" t="inlineStr">
        <is>
          <t>YAMAMOTO ST</t>
        </is>
      </c>
      <c r="C144" s="1" t="inlineStr"/>
      <c r="D144" s="1" t="inlineStr">
        <is>
          <t>NTW003</t>
        </is>
      </c>
      <c r="E144" s="1" t="n"/>
      <c r="F144" s="7" t="inlineStr">
        <is>
          <t>01</t>
        </is>
      </c>
      <c r="G144" s="7" t="inlineStr">
        <is>
          <t>02</t>
        </is>
      </c>
      <c r="H144" s="8" t="inlineStr">
        <is>
          <t>03</t>
        </is>
      </c>
      <c r="I144" s="7" t="inlineStr">
        <is>
          <t>04</t>
        </is>
      </c>
      <c r="J144" s="8" t="inlineStr">
        <is>
          <t>05</t>
        </is>
      </c>
      <c r="K144" s="7" t="inlineStr">
        <is>
          <t>06</t>
        </is>
      </c>
      <c r="L144" s="13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8" t="inlineStr">
        <is>
          <t>14</t>
        </is>
      </c>
      <c r="T144" s="8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8" t="inlineStr">
        <is>
          <t>18</t>
        </is>
      </c>
      <c r="X144" s="8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8" t="inlineStr">
        <is>
          <t>27</t>
        </is>
      </c>
      <c r="AG144" s="8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37736-3</t>
        </is>
      </c>
      <c r="B145" s="1" t="inlineStr">
        <is>
          <t>YAMAMOTO ST</t>
        </is>
      </c>
      <c r="C145" s="1" t="inlineStr"/>
      <c r="D145" s="1" t="inlineStr">
        <is>
          <t>NTW003</t>
        </is>
      </c>
      <c r="E145" s="1" t="n"/>
      <c r="F145" s="9" t="inlineStr">
        <is>
          <t>H</t>
        </is>
      </c>
      <c r="G145" s="9" t="inlineStr">
        <is>
          <t>PH3
ISR</t>
        </is>
      </c>
      <c r="H145" s="9" t="inlineStr">
        <is>
          <t>725
CFM ISR</t>
        </is>
      </c>
      <c r="I145" s="9" t="inlineStr">
        <is>
          <t>---</t>
        </is>
      </c>
      <c r="J145" s="9" t="inlineStr">
        <is>
          <t>726
CFM ISR</t>
        </is>
      </c>
      <c r="K145" s="9" t="inlineStr">
        <is>
          <t>HH</t>
        </is>
      </c>
      <c r="L145" s="9" t="inlineStr">
        <is>
          <t>RCBT
CBT1 TRN
GS
GS-C TRN
DIT
DIT TRN</t>
        </is>
      </c>
      <c r="M145" s="9" t="inlineStr">
        <is>
          <t>68</t>
        </is>
      </c>
      <c r="N145" s="9" t="inlineStr">
        <is>
          <t>---</t>
        </is>
      </c>
      <c r="O145" s="9" t="inlineStr">
        <is>
          <t>67</t>
        </is>
      </c>
      <c r="P145" s="9" t="inlineStr">
        <is>
          <t>H</t>
        </is>
      </c>
      <c r="Q145" s="9" t="inlineStr">
        <is>
          <t>H</t>
        </is>
      </c>
      <c r="R145" s="9" t="inlineStr">
        <is>
          <t>HH</t>
        </is>
      </c>
      <c r="S145" s="9" t="inlineStr">
        <is>
          <t>809
CMD ISR</t>
        </is>
      </c>
      <c r="T145" s="9" t="inlineStr">
        <is>
          <t>802
CMD ISR</t>
        </is>
      </c>
      <c r="U145" s="9" t="inlineStr">
        <is>
          <t>H/VAC</t>
        </is>
      </c>
      <c r="V145" s="9" t="inlineStr">
        <is>
          <t>VACN</t>
        </is>
      </c>
      <c r="W145" s="9" t="inlineStr">
        <is>
          <t>99
RMD ISR</t>
        </is>
      </c>
      <c r="X145" s="9" t="inlineStr">
        <is>
          <t>96
RMD ISR</t>
        </is>
      </c>
      <c r="Y145" s="9" t="inlineStr">
        <is>
          <t>MTG1</t>
        </is>
      </c>
      <c r="Z145" s="9" t="inlineStr">
        <is>
          <t>MTG1</t>
        </is>
      </c>
      <c r="AA145" s="9" t="inlineStr">
        <is>
          <t>H</t>
        </is>
      </c>
      <c r="AB145" s="9" t="inlineStr">
        <is>
          <t>H</t>
        </is>
      </c>
      <c r="AC145" s="9" t="inlineStr">
        <is>
          <t>R</t>
        </is>
      </c>
      <c r="AD145" s="9" t="inlineStr">
        <is>
          <t>R</t>
        </is>
      </c>
      <c r="AE145" s="9" t="inlineStr">
        <is>
          <t>H</t>
        </is>
      </c>
      <c r="AF145" s="9" t="inlineStr">
        <is>
          <t>101
CAUG ISR
106
CAUG ISR
113
CAUG ISR</t>
        </is>
      </c>
      <c r="AG145" s="9" t="inlineStr">
        <is>
          <t>104
CAUG ISR</t>
        </is>
      </c>
      <c r="AH145" s="9" t="inlineStr">
        <is>
          <t>GMT1</t>
        </is>
      </c>
      <c r="AI145" s="9" t="inlineStr">
        <is>
          <t>H</t>
        </is>
      </c>
      <c r="AJ145" s="9" t="inlineStr">
        <is>
          <t>H</t>
        </is>
      </c>
    </row>
    <row r="146">
      <c r="A146" s="1" t="inlineStr">
        <is>
          <t>37736-4</t>
        </is>
      </c>
      <c r="B146" s="1" t="inlineStr">
        <is>
          <t>YAMAMOTO ST</t>
        </is>
      </c>
      <c r="C146" s="1" t="inlineStr"/>
      <c r="D146" s="1" t="inlineStr">
        <is>
          <t>NTW003</t>
        </is>
      </c>
      <c r="E146" s="1" t="n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>
        <f>HYPERLINK("#Schedule!F425", "KIMURAYU (53824)")</f>
        <v/>
      </c>
      <c r="T146" s="9">
        <f>HYPERLINK("#Schedule!F425", "KIMURAYU (53824)")</f>
        <v/>
      </c>
      <c r="U146" s="9" t="inlineStr"/>
      <c r="V146" s="9" t="inlineStr"/>
      <c r="W146" s="9">
        <f>HYPERLINK("#Schedule!F299", "OZAWAKO (41266)")</f>
        <v/>
      </c>
      <c r="X146" s="9">
        <f>HYPERLINK("#Schedule!F299", "OZAWAKO (41266)")</f>
        <v/>
      </c>
      <c r="Y146" s="9" t="inlineStr"/>
      <c r="Z146" s="9" t="inlineStr"/>
      <c r="AA146" s="9" t="inlineStr"/>
      <c r="AB146" s="9" t="inlineStr"/>
      <c r="AC146" s="9" t="inlineStr"/>
      <c r="AD146" s="9" t="inlineStr"/>
      <c r="AE146" s="9" t="inlineStr"/>
      <c r="AF146" s="9">
        <f>HYPERLINK("#Schedule!F320", "OTAKA (38601)")</f>
        <v/>
      </c>
      <c r="AG146" s="9">
        <f>HYPERLINK("#Schedule!F320", "OTAKA (38601)")</f>
        <v/>
      </c>
      <c r="AH146" s="9" t="inlineStr"/>
      <c r="AI146" s="9" t="inlineStr"/>
      <c r="AJ146" s="9" t="inlineStr"/>
    </row>
    <row r="147">
      <c r="A147" s="1" t="inlineStr">
        <is>
          <t>39670-1</t>
        </is>
      </c>
      <c r="B147" s="1" t="inlineStr">
        <is>
          <t>YOSHIMURA MA</t>
        </is>
      </c>
      <c r="C147" s="1" t="inlineStr"/>
      <c r="D147" s="1" t="inlineStr">
        <is>
          <t>NTW003</t>
        </is>
      </c>
      <c r="E147" s="1" t="n"/>
      <c r="F147" s="4" t="inlineStr">
        <is>
          <t>吉村MA</t>
        </is>
      </c>
      <c r="G147" s="4" t="inlineStr">
        <is>
          <t>MA</t>
        </is>
      </c>
      <c r="H147" s="4" t="inlineStr">
        <is>
          <t>機種：</t>
        </is>
      </c>
      <c r="I147" s="4" t="inlineStr">
        <is>
          <t>787</t>
        </is>
      </c>
      <c r="J147" s="4" t="inlineStr">
        <is>
          <t>ランク：</t>
        </is>
      </c>
      <c r="K147" s="4" t="inlineStr">
        <is>
          <t>CAP</t>
        </is>
      </c>
      <c r="L147" s="4" t="inlineStr">
        <is>
          <t>期：</t>
        </is>
      </c>
      <c r="M147" s="4" t="inlineStr">
        <is>
          <t>職番：</t>
        </is>
      </c>
      <c r="N147" s="4" t="inlineStr">
        <is>
          <t>00039670</t>
        </is>
      </c>
      <c r="O147" s="4" t="inlineStr">
        <is>
          <t>所属：</t>
        </is>
      </c>
      <c r="P147" s="4" t="inlineStr">
        <is>
          <t>NTZNT</t>
        </is>
      </c>
      <c r="Q147" s="4" t="inlineStr">
        <is>
          <t>CAT資：</t>
        </is>
      </c>
      <c r="R147" s="4" t="inlineStr">
        <is>
          <t>CAT3</t>
        </is>
      </c>
      <c r="S147" s="4" t="inlineStr">
        <is>
          <t>T/O：</t>
        </is>
      </c>
      <c r="T147" s="4" t="inlineStr">
        <is>
          <t>3T250929</t>
        </is>
      </c>
      <c r="U147" s="4" t="inlineStr">
        <is>
          <t>L/D：</t>
        </is>
      </c>
      <c r="V147" s="4" t="inlineStr">
        <is>
          <t>3L250929</t>
        </is>
      </c>
      <c r="W147" s="4" t="inlineStr">
        <is>
          <t>PE：</t>
        </is>
      </c>
      <c r="X147" s="5" t="inlineStr">
        <is>
          <t>PE260619</t>
        </is>
      </c>
      <c r="Y147" s="4" t="inlineStr">
        <is>
          <t>誕生月：</t>
        </is>
      </c>
      <c r="Z147" s="4" t="inlineStr">
        <is>
          <t>10</t>
        </is>
      </c>
      <c r="AA147" s="6" t="inlineStr">
        <is>
          <t>電話：</t>
        </is>
      </c>
      <c r="AB147" s="6" t="inlineStr">
        <is>
          <t>03-5760-6638</t>
        </is>
      </c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>
        <is>
          <t>NTW003</t>
        </is>
      </c>
    </row>
    <row r="148">
      <c r="A148" s="1" t="inlineStr">
        <is>
          <t>39670-2</t>
        </is>
      </c>
      <c r="B148" s="1" t="inlineStr">
        <is>
          <t>YOSHIMURA MA</t>
        </is>
      </c>
      <c r="C148" s="1" t="inlineStr"/>
      <c r="D148" s="1" t="inlineStr">
        <is>
          <t>NTW003</t>
        </is>
      </c>
      <c r="E148" s="1" t="n"/>
      <c r="F148" s="7" t="inlineStr">
        <is>
          <t>01</t>
        </is>
      </c>
      <c r="G148" s="12" t="inlineStr">
        <is>
          <t>02</t>
        </is>
      </c>
      <c r="H148" s="12" t="inlineStr">
        <is>
          <t>03</t>
        </is>
      </c>
      <c r="I148" s="7" t="inlineStr">
        <is>
          <t>04</t>
        </is>
      </c>
      <c r="J148" s="7" t="inlineStr">
        <is>
          <t>05</t>
        </is>
      </c>
      <c r="K148" s="7" t="inlineStr">
        <is>
          <t>06</t>
        </is>
      </c>
      <c r="L148" s="8" t="inlineStr">
        <is>
          <t>07</t>
        </is>
      </c>
      <c r="M148" s="8" t="inlineStr">
        <is>
          <t>08</t>
        </is>
      </c>
      <c r="N148" s="7" t="inlineStr">
        <is>
          <t>09</t>
        </is>
      </c>
      <c r="O148" s="7" t="inlineStr">
        <is>
          <t>10</t>
        </is>
      </c>
      <c r="P148" s="7" t="inlineStr">
        <is>
          <t>11</t>
        </is>
      </c>
      <c r="Q148" s="7" t="inlineStr">
        <is>
          <t>12</t>
        </is>
      </c>
      <c r="R148" s="8" t="inlineStr">
        <is>
          <t>13</t>
        </is>
      </c>
      <c r="S148" s="7" t="inlineStr">
        <is>
          <t>14</t>
        </is>
      </c>
      <c r="T148" s="8" t="inlineStr">
        <is>
          <t>15</t>
        </is>
      </c>
      <c r="U148" s="7" t="inlineStr">
        <is>
          <t>16</t>
        </is>
      </c>
      <c r="V148" s="8" t="inlineStr">
        <is>
          <t>17</t>
        </is>
      </c>
      <c r="W148" s="8" t="inlineStr">
        <is>
          <t>18</t>
        </is>
      </c>
      <c r="X148" s="7" t="inlineStr">
        <is>
          <t>19</t>
        </is>
      </c>
      <c r="Y148" s="7" t="inlineStr">
        <is>
          <t>20</t>
        </is>
      </c>
      <c r="Z148" s="7" t="inlineStr">
        <is>
          <t>21</t>
        </is>
      </c>
      <c r="AA148" s="7" t="inlineStr">
        <is>
          <t>22</t>
        </is>
      </c>
      <c r="AB148" s="7" t="inlineStr">
        <is>
          <t>23</t>
        </is>
      </c>
      <c r="AC148" s="7" t="inlineStr">
        <is>
          <t>24</t>
        </is>
      </c>
      <c r="AD148" s="8" t="inlineStr">
        <is>
          <t>25</t>
        </is>
      </c>
      <c r="AE148" s="7" t="inlineStr">
        <is>
          <t>26</t>
        </is>
      </c>
      <c r="AF148" s="8" t="inlineStr">
        <is>
          <t>27</t>
        </is>
      </c>
      <c r="AG148" s="7" t="inlineStr">
        <is>
          <t>28</t>
        </is>
      </c>
      <c r="AH148" s="7" t="inlineStr">
        <is>
          <t>29</t>
        </is>
      </c>
      <c r="AI148" s="7" t="inlineStr">
        <is>
          <t>30</t>
        </is>
      </c>
      <c r="AJ148" s="7" t="inlineStr">
        <is>
          <t>31</t>
        </is>
      </c>
    </row>
    <row r="149">
      <c r="A149" s="1" t="inlineStr">
        <is>
          <t>39670-3</t>
        </is>
      </c>
      <c r="B149" s="1" t="inlineStr">
        <is>
          <t>YOSHIMURA MA</t>
        </is>
      </c>
      <c r="C149" s="1" t="inlineStr"/>
      <c r="D149" s="1" t="inlineStr">
        <is>
          <t>NTW003</t>
        </is>
      </c>
      <c r="E149" s="1" t="n"/>
      <c r="F149" s="9" t="inlineStr">
        <is>
          <t>H</t>
        </is>
      </c>
      <c r="G149" s="9" t="inlineStr">
        <is>
          <t>M21
TRN
#1
06:00-10:00</t>
        </is>
      </c>
      <c r="H149" s="9" t="inlineStr">
        <is>
          <t>M22
TRN
#1
19:00-23:00</t>
        </is>
      </c>
      <c r="I149" s="9" t="inlineStr">
        <is>
          <t>H</t>
        </is>
      </c>
      <c r="J149" s="9" t="inlineStr">
        <is>
          <t>VAC</t>
        </is>
      </c>
      <c r="K149" s="9" t="inlineStr">
        <is>
          <t>H/VAC</t>
        </is>
      </c>
      <c r="L149" s="9" t="inlineStr">
        <is>
          <t>119
VLDP ISR
124
VLDP ISR
133DH</t>
        </is>
      </c>
      <c r="M149" s="9" t="inlineStr">
        <is>
          <t>116
VLDP ISR
125
VLDP ISR
128
VLDP ISR</t>
        </is>
      </c>
      <c r="N149" s="9" t="inlineStr">
        <is>
          <t>ISR
ISR
#1
15:00-19:00</t>
        </is>
      </c>
      <c r="O149" s="9" t="inlineStr">
        <is>
          <t>CAT3
ISR
#2
15:00-17:00</t>
        </is>
      </c>
      <c r="P149" s="9" t="inlineStr">
        <is>
          <t>H</t>
        </is>
      </c>
      <c r="Q149" s="9" t="inlineStr">
        <is>
          <t>VAC</t>
        </is>
      </c>
      <c r="R149" s="9" t="inlineStr">
        <is>
          <t>745
CMD ISR</t>
        </is>
      </c>
      <c r="S149" s="9" t="inlineStr">
        <is>
          <t>---</t>
        </is>
      </c>
      <c r="T149" s="9" t="inlineStr">
        <is>
          <t>78
CMD ISR</t>
        </is>
      </c>
      <c r="U149" s="9" t="inlineStr">
        <is>
          <t>H</t>
        </is>
      </c>
      <c r="V149" s="9" t="inlineStr">
        <is>
          <t>25
CAUG ISR</t>
        </is>
      </c>
      <c r="W149" s="9" t="inlineStr">
        <is>
          <t>20
CAUG ISR</t>
        </is>
      </c>
      <c r="X149" s="9" t="inlineStr">
        <is>
          <t>H</t>
        </is>
      </c>
      <c r="Y149" s="9" t="inlineStr">
        <is>
          <t>MTG1</t>
        </is>
      </c>
      <c r="Z149" s="9" t="inlineStr">
        <is>
          <t>MTG1</t>
        </is>
      </c>
      <c r="AA149" s="9" t="inlineStr">
        <is>
          <t>VAC</t>
        </is>
      </c>
      <c r="AB149" s="9" t="inlineStr">
        <is>
          <t>H</t>
        </is>
      </c>
      <c r="AC149" s="9" t="inlineStr">
        <is>
          <t>H</t>
        </is>
      </c>
      <c r="AD149" s="9" t="inlineStr">
        <is>
          <t>759
VLDE ISR</t>
        </is>
      </c>
      <c r="AE149" s="9" t="inlineStr">
        <is>
          <t>---</t>
        </is>
      </c>
      <c r="AF149" s="9" t="inlineStr">
        <is>
          <t>70
VLDE ISR</t>
        </is>
      </c>
      <c r="AG149" s="9" t="inlineStr">
        <is>
          <t>*H</t>
        </is>
      </c>
      <c r="AH149" s="9" t="inlineStr">
        <is>
          <t>GMT1</t>
        </is>
      </c>
      <c r="AI149" s="9" t="inlineStr">
        <is>
          <t>HH</t>
        </is>
      </c>
      <c r="AJ149" s="9" t="inlineStr">
        <is>
          <t>HH</t>
        </is>
      </c>
    </row>
    <row r="150">
      <c r="A150" s="1" t="inlineStr">
        <is>
          <t>39670-4</t>
        </is>
      </c>
      <c r="B150" s="1" t="inlineStr">
        <is>
          <t>YOSHIMURA MA</t>
        </is>
      </c>
      <c r="C150" s="1" t="inlineStr"/>
      <c r="D150" s="1" t="inlineStr">
        <is>
          <t>NTW003</t>
        </is>
      </c>
      <c r="E150" s="1" t="n"/>
      <c r="F150" s="9" t="inlineStr"/>
      <c r="G150" s="9" t="inlineStr">
        <is>
          <t>I横田 JU</t>
        </is>
      </c>
      <c r="H150" s="9" t="inlineStr">
        <is>
          <t>I吉村 YA</t>
        </is>
      </c>
      <c r="I150" s="9" t="inlineStr"/>
      <c r="J150" s="9" t="inlineStr"/>
      <c r="K150" s="9" t="inlineStr"/>
      <c r="L150" s="9">
        <f>HYPERLINK("#Schedule!F366", "OJIMAHI (53822)")</f>
        <v/>
      </c>
      <c r="M150" s="9">
        <f>HYPERLINK("#Schedule!F366", "OJIMAHI (53822)")</f>
        <v/>
      </c>
      <c r="N150" s="9" t="inlineStr">
        <is>
          <t>I内田 KE</t>
        </is>
      </c>
      <c r="O150" s="9" t="inlineStr"/>
      <c r="P150" s="9" t="inlineStr"/>
      <c r="Q150" s="9" t="inlineStr"/>
      <c r="R150" s="9">
        <f>HYPERLINK("#Schedule!F383", "SEKIYO (53828)")</f>
        <v/>
      </c>
      <c r="S150" s="9" t="inlineStr"/>
      <c r="T150" s="9">
        <f>HYPERLINK("#Schedule!F383", "SEKIYO (53828)")</f>
        <v/>
      </c>
      <c r="U150" s="9" t="inlineStr"/>
      <c r="V150" s="9" t="inlineStr">
        <is>
          <t>TASAKASH</t>
        </is>
      </c>
      <c r="W150" s="9" t="inlineStr">
        <is>
          <t>TASAKASH</t>
        </is>
      </c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>
        <is>
          <t>TOYODAJU</t>
        </is>
      </c>
      <c r="AE150" s="9" t="inlineStr"/>
      <c r="AF150" s="9" t="inlineStr">
        <is>
          <t>TOYODAJU</t>
        </is>
      </c>
      <c r="AG150" s="9" t="inlineStr"/>
      <c r="AH150" s="9" t="inlineStr"/>
      <c r="AI150" s="9" t="inlineStr"/>
      <c r="AJ150" s="9" t="inlineStr"/>
    </row>
    <row r="151">
      <c r="A151" s="1" t="inlineStr">
        <is>
          <t>39670-5</t>
        </is>
      </c>
      <c r="B151" s="1" t="inlineStr">
        <is>
          <t>YOSHIMURA MA</t>
        </is>
      </c>
      <c r="C151" s="1" t="inlineStr"/>
      <c r="D151" s="1" t="inlineStr">
        <is>
          <t>NTW003</t>
        </is>
      </c>
      <c r="E151" s="1" t="n"/>
      <c r="F151" s="9" t="inlineStr"/>
      <c r="G151" s="9" t="inlineStr"/>
      <c r="H151" s="9">
        <f>HYPERLINK("#Schedule!F238", "T小林 NO (67670)")</f>
        <v/>
      </c>
      <c r="I151" s="9" t="inlineStr"/>
      <c r="J151" s="9" t="inlineStr"/>
      <c r="K151" s="9" t="inlineStr"/>
      <c r="L151" s="9" t="inlineStr"/>
      <c r="M151" s="9" t="inlineStr"/>
      <c r="N151" s="9">
        <f>HYPERLINK("#Schedule!F81", "I北村 YA (37755)")</f>
        <v/>
      </c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</row>
    <row r="152">
      <c r="A152" s="1" t="inlineStr">
        <is>
          <t>39676-1</t>
        </is>
      </c>
      <c r="B152" s="1" t="inlineStr">
        <is>
          <t>KOBARA TA</t>
        </is>
      </c>
      <c r="C152" s="1" t="inlineStr"/>
      <c r="D152" s="1" t="inlineStr">
        <is>
          <t>NTW003</t>
        </is>
      </c>
      <c r="E152" s="1" t="n"/>
      <c r="F152" s="4" t="inlineStr">
        <is>
          <t>小原 TA</t>
        </is>
      </c>
      <c r="G152" s="4" t="inlineStr">
        <is>
          <t>TA</t>
        </is>
      </c>
      <c r="H152" s="4" t="inlineStr">
        <is>
          <t>機種：</t>
        </is>
      </c>
      <c r="I152" s="4" t="inlineStr">
        <is>
          <t>787</t>
        </is>
      </c>
      <c r="J152" s="4" t="inlineStr">
        <is>
          <t>ランク：</t>
        </is>
      </c>
      <c r="K152" s="4" t="inlineStr">
        <is>
          <t>CAP</t>
        </is>
      </c>
      <c r="L152" s="4" t="inlineStr">
        <is>
          <t>期：</t>
        </is>
      </c>
      <c r="M152" s="4" t="inlineStr">
        <is>
          <t>職番：</t>
        </is>
      </c>
      <c r="N152" s="4" t="inlineStr">
        <is>
          <t>00039676</t>
        </is>
      </c>
      <c r="O152" s="4" t="inlineStr">
        <is>
          <t>所属：</t>
        </is>
      </c>
      <c r="P152" s="4" t="inlineStr">
        <is>
          <t>NTZNT</t>
        </is>
      </c>
      <c r="Q152" s="4" t="inlineStr">
        <is>
          <t>CAT資：</t>
        </is>
      </c>
      <c r="R152" s="4" t="inlineStr">
        <is>
          <t>CAT3</t>
        </is>
      </c>
      <c r="S152" s="4" t="inlineStr">
        <is>
          <t>T/O：</t>
        </is>
      </c>
      <c r="T152" s="4" t="inlineStr">
        <is>
          <t>3T250918</t>
        </is>
      </c>
      <c r="U152" s="4" t="inlineStr">
        <is>
          <t>L/D：</t>
        </is>
      </c>
      <c r="V152" s="4" t="inlineStr">
        <is>
          <t>3L250918</t>
        </is>
      </c>
      <c r="W152" s="4" t="inlineStr">
        <is>
          <t>PE：</t>
        </is>
      </c>
      <c r="X152" s="5" t="inlineStr">
        <is>
          <t>PE251009</t>
        </is>
      </c>
      <c r="Y152" s="4" t="inlineStr">
        <is>
          <t>誕生月：</t>
        </is>
      </c>
      <c r="Z152" s="4" t="inlineStr">
        <is>
          <t>04</t>
        </is>
      </c>
      <c r="AA152" s="6" t="inlineStr">
        <is>
          <t>電話：</t>
        </is>
      </c>
      <c r="AB152" s="6" t="inlineStr">
        <is>
          <t>090-5430-7046</t>
        </is>
      </c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>
        <is>
          <t>NTW003</t>
        </is>
      </c>
    </row>
    <row r="153">
      <c r="A153" s="1" t="inlineStr">
        <is>
          <t>39676-2</t>
        </is>
      </c>
      <c r="B153" s="1" t="inlineStr">
        <is>
          <t>KOBARA TA</t>
        </is>
      </c>
      <c r="C153" s="1" t="inlineStr"/>
      <c r="D153" s="1" t="inlineStr">
        <is>
          <t>NTW003</t>
        </is>
      </c>
      <c r="E153" s="1" t="n"/>
      <c r="F153" s="7" t="inlineStr">
        <is>
          <t>01</t>
        </is>
      </c>
      <c r="G153" s="7" t="inlineStr">
        <is>
          <t>02</t>
        </is>
      </c>
      <c r="H153" s="8" t="inlineStr">
        <is>
          <t>03</t>
        </is>
      </c>
      <c r="I153" s="8" t="inlineStr">
        <is>
          <t>04</t>
        </is>
      </c>
      <c r="J153" s="7" t="inlineStr">
        <is>
          <t>05</t>
        </is>
      </c>
      <c r="K153" s="10" t="inlineStr">
        <is>
          <t>06</t>
        </is>
      </c>
      <c r="L153" s="8" t="inlineStr">
        <is>
          <t>07</t>
        </is>
      </c>
      <c r="M153" s="8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8" t="inlineStr">
        <is>
          <t>12</t>
        </is>
      </c>
      <c r="R153" s="8" t="inlineStr">
        <is>
          <t>13</t>
        </is>
      </c>
      <c r="S153" s="7" t="inlineStr">
        <is>
          <t>14</t>
        </is>
      </c>
      <c r="T153" s="8" t="inlineStr">
        <is>
          <t>15</t>
        </is>
      </c>
      <c r="U153" s="8" t="inlineStr">
        <is>
          <t>16</t>
        </is>
      </c>
      <c r="V153" s="7" t="inlineStr">
        <is>
          <t>17</t>
        </is>
      </c>
      <c r="W153" s="8" t="inlineStr">
        <is>
          <t>18</t>
        </is>
      </c>
      <c r="X153" s="8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8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7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39676-3</t>
        </is>
      </c>
      <c r="B154" s="1" t="inlineStr">
        <is>
          <t>KOBARA TA</t>
        </is>
      </c>
      <c r="C154" s="1" t="inlineStr"/>
      <c r="D154" s="1" t="inlineStr">
        <is>
          <t>NTW003</t>
        </is>
      </c>
      <c r="E154" s="1" t="n"/>
      <c r="F154" s="9" t="inlineStr">
        <is>
          <t>*H</t>
        </is>
      </c>
      <c r="G154" s="9" t="inlineStr">
        <is>
          <t>H</t>
        </is>
      </c>
      <c r="H154" s="9" t="inlineStr">
        <is>
          <t>25
LEF ISR</t>
        </is>
      </c>
      <c r="I154" s="9" t="inlineStr">
        <is>
          <t>20
LEF ISR</t>
        </is>
      </c>
      <c r="J154" s="9" t="inlineStr">
        <is>
          <t>H/VAC</t>
        </is>
      </c>
      <c r="K154" s="9" t="inlineStr">
        <is>
          <t>M21
ISR
#2
15:00-19:00</t>
        </is>
      </c>
      <c r="L154" s="9" t="inlineStr">
        <is>
          <t>809
CMD ISR</t>
        </is>
      </c>
      <c r="M154" s="9" t="inlineStr">
        <is>
          <t>802
CMD ISR</t>
        </is>
      </c>
      <c r="N154" s="9" t="inlineStr">
        <is>
          <t>H</t>
        </is>
      </c>
      <c r="O154" s="9" t="inlineStr">
        <is>
          <t>H</t>
        </is>
      </c>
      <c r="P154" s="9" t="inlineStr">
        <is>
          <t>MIDNIT</t>
        </is>
      </c>
      <c r="Q154" s="9" t="inlineStr">
        <is>
          <t>79
CFM ISR</t>
        </is>
      </c>
      <c r="R154" s="9" t="inlineStr">
        <is>
          <t>750
CFM ISR</t>
        </is>
      </c>
      <c r="S154" s="9" t="inlineStr">
        <is>
          <t>H</t>
        </is>
      </c>
      <c r="T154" s="9" t="inlineStr">
        <is>
          <t>101
CAUG ISR
106
CAUG ISR
113
CAUG ISR</t>
        </is>
      </c>
      <c r="U154" s="9" t="inlineStr">
        <is>
          <t>104
CAUG ISR
111
CAUG ISR
114
CAUG ISR</t>
        </is>
      </c>
      <c r="V154" s="9" t="inlineStr">
        <is>
          <t>H</t>
        </is>
      </c>
      <c r="W154" s="9" t="inlineStr">
        <is>
          <t>87
CMD ISR</t>
        </is>
      </c>
      <c r="X154" s="9" t="inlineStr">
        <is>
          <t>88
CMD ISR</t>
        </is>
      </c>
      <c r="Y154" s="9" t="inlineStr">
        <is>
          <t>VAC</t>
        </is>
      </c>
      <c r="Z154" s="9" t="inlineStr">
        <is>
          <t>H</t>
        </is>
      </c>
      <c r="AA154" s="9" t="inlineStr">
        <is>
          <t>133
CMD ISR
138
CMD ISR</t>
        </is>
      </c>
      <c r="AB154" s="9" t="inlineStr">
        <is>
          <t>H</t>
        </is>
      </c>
      <c r="AC154" s="9" t="inlineStr">
        <is>
          <t>72</t>
        </is>
      </c>
      <c r="AD154" s="9" t="inlineStr">
        <is>
          <t>---</t>
        </is>
      </c>
      <c r="AE154" s="9" t="inlineStr">
        <is>
          <t>793
208DH</t>
        </is>
      </c>
      <c r="AF154" s="9" t="inlineStr">
        <is>
          <t>H</t>
        </is>
      </c>
      <c r="AG154" s="9" t="inlineStr">
        <is>
          <t>H</t>
        </is>
      </c>
      <c r="AH154" s="9" t="inlineStr">
        <is>
          <t>GMT1</t>
        </is>
      </c>
      <c r="AI154" s="9" t="inlineStr">
        <is>
          <t>41</t>
        </is>
      </c>
      <c r="AJ154" s="9" t="inlineStr">
        <is>
          <t>---</t>
        </is>
      </c>
    </row>
    <row r="155">
      <c r="A155" s="1" t="inlineStr">
        <is>
          <t>39676-4</t>
        </is>
      </c>
      <c r="B155" s="1" t="inlineStr">
        <is>
          <t>KOBARA TA</t>
        </is>
      </c>
      <c r="C155" s="1" t="inlineStr"/>
      <c r="D155" s="1" t="inlineStr">
        <is>
          <t>NTW003</t>
        </is>
      </c>
      <c r="E155" s="1" t="n"/>
      <c r="F155" s="9" t="inlineStr"/>
      <c r="G155" s="9" t="inlineStr"/>
      <c r="H155" s="9" t="inlineStr"/>
      <c r="I155" s="9" t="inlineStr"/>
      <c r="J155" s="9" t="inlineStr"/>
      <c r="K155" s="9" t="inlineStr"/>
      <c r="L155" s="9">
        <f>HYPERLINK("#Schedule!F437", "HAYASHIKA (48991)")</f>
        <v/>
      </c>
      <c r="M155" s="9">
        <f>HYPERLINK("#Schedule!F437", "HAYASHIKA (48991)")</f>
        <v/>
      </c>
      <c r="N155" s="9" t="inlineStr"/>
      <c r="O155" s="9" t="inlineStr"/>
      <c r="P155" s="9" t="inlineStr"/>
      <c r="Q155" s="9" t="inlineStr"/>
      <c r="R155" s="9" t="inlineStr"/>
      <c r="S155" s="9" t="inlineStr"/>
      <c r="T155" s="9">
        <f>HYPERLINK("#Schedule!F346", "KOIZUMIKE (53825)")</f>
        <v/>
      </c>
      <c r="U155" s="9">
        <f>HYPERLINK("#Schedule!F346", "KOIZUMIKE (53825)")</f>
        <v/>
      </c>
      <c r="V155" s="9" t="inlineStr"/>
      <c r="W155" s="9" t="inlineStr">
        <is>
          <t>TSUNODAAK</t>
        </is>
      </c>
      <c r="X155" s="9" t="inlineStr">
        <is>
          <t>TSUNODAAK</t>
        </is>
      </c>
      <c r="Y155" s="9" t="inlineStr"/>
      <c r="Z155" s="9" t="inlineStr"/>
      <c r="AA155" s="9" t="inlineStr">
        <is>
          <t>ISHIGUROKA</t>
        </is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  <c r="AI155" s="9" t="inlineStr"/>
      <c r="AJ155" s="9" t="inlineStr"/>
    </row>
    <row r="156">
      <c r="A156" s="1" t="inlineStr">
        <is>
          <t>41170-1</t>
        </is>
      </c>
      <c r="B156" s="1" t="inlineStr">
        <is>
          <t>HARAGUCHI HR</t>
        </is>
      </c>
      <c r="C156" s="1" t="inlineStr"/>
      <c r="D156" s="1" t="inlineStr">
        <is>
          <t>NTW003</t>
        </is>
      </c>
      <c r="E156" s="1" t="n"/>
      <c r="F156" s="4" t="inlineStr">
        <is>
          <t>原口 HR</t>
        </is>
      </c>
      <c r="G156" s="4" t="inlineStr">
        <is>
          <t>HR</t>
        </is>
      </c>
      <c r="H156" s="4" t="inlineStr">
        <is>
          <t>機種：</t>
        </is>
      </c>
      <c r="I156" s="4" t="inlineStr">
        <is>
          <t>787</t>
        </is>
      </c>
      <c r="J156" s="4" t="inlineStr">
        <is>
          <t>ランク：</t>
        </is>
      </c>
      <c r="K156" s="4" t="inlineStr">
        <is>
          <t>CAP</t>
        </is>
      </c>
      <c r="L156" s="4" t="inlineStr">
        <is>
          <t>期：</t>
        </is>
      </c>
      <c r="M156" s="4" t="inlineStr">
        <is>
          <t>職番：</t>
        </is>
      </c>
      <c r="N156" s="4" t="inlineStr">
        <is>
          <t>00041170</t>
        </is>
      </c>
      <c r="O156" s="4" t="inlineStr">
        <is>
          <t>所属：</t>
        </is>
      </c>
      <c r="P156" s="4" t="inlineStr">
        <is>
          <t>NTZNT</t>
        </is>
      </c>
      <c r="Q156" s="4" t="inlineStr">
        <is>
          <t>CAT資：</t>
        </is>
      </c>
      <c r="R156" s="4" t="inlineStr">
        <is>
          <t>CAT3</t>
        </is>
      </c>
      <c r="S156" s="4" t="inlineStr">
        <is>
          <t>T/O：</t>
        </is>
      </c>
      <c r="T156" s="4" t="inlineStr">
        <is>
          <t>3T250917</t>
        </is>
      </c>
      <c r="U156" s="4" t="inlineStr">
        <is>
          <t>L/D：</t>
        </is>
      </c>
      <c r="V156" s="4" t="inlineStr">
        <is>
          <t>3L250918</t>
        </is>
      </c>
      <c r="W156" s="4" t="inlineStr">
        <is>
          <t>PE：</t>
        </is>
      </c>
      <c r="X156" s="5" t="inlineStr">
        <is>
          <t>PE250819</t>
        </is>
      </c>
      <c r="Y156" s="4" t="inlineStr">
        <is>
          <t>誕生月：</t>
        </is>
      </c>
      <c r="Z156" s="4" t="inlineStr">
        <is>
          <t>02</t>
        </is>
      </c>
      <c r="AA156" s="6" t="inlineStr">
        <is>
          <t>電話：</t>
        </is>
      </c>
      <c r="AB156" s="6" t="inlineStr">
        <is>
          <t>090-2635-5524</t>
        </is>
      </c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>
        <is>
          <t>NTW003</t>
        </is>
      </c>
    </row>
    <row r="157">
      <c r="A157" s="1" t="inlineStr">
        <is>
          <t>41170-2</t>
        </is>
      </c>
      <c r="B157" s="1" t="inlineStr">
        <is>
          <t>HARAGUCHI HR</t>
        </is>
      </c>
      <c r="C157" s="1" t="inlineStr"/>
      <c r="D157" s="1" t="inlineStr">
        <is>
          <t>NTW003</t>
        </is>
      </c>
      <c r="E157" s="1" t="n"/>
      <c r="F157" s="7" t="inlineStr">
        <is>
          <t>01</t>
        </is>
      </c>
      <c r="G157" s="7" t="inlineStr">
        <is>
          <t>02</t>
        </is>
      </c>
      <c r="H157" s="7" t="inlineStr">
        <is>
          <t>03</t>
        </is>
      </c>
      <c r="I157" s="7" t="inlineStr">
        <is>
          <t>04</t>
        </is>
      </c>
      <c r="J157" s="7" t="inlineStr">
        <is>
          <t>05</t>
        </is>
      </c>
      <c r="K157" s="7" t="inlineStr">
        <is>
          <t>06</t>
        </is>
      </c>
      <c r="L157" s="7" t="inlineStr">
        <is>
          <t>07</t>
        </is>
      </c>
      <c r="M157" s="8" t="inlineStr">
        <is>
          <t>08</t>
        </is>
      </c>
      <c r="N157" s="7" t="inlineStr">
        <is>
          <t>09</t>
        </is>
      </c>
      <c r="O157" s="8" t="inlineStr">
        <is>
          <t>10</t>
        </is>
      </c>
      <c r="P157" s="7" t="inlineStr">
        <is>
          <t>11</t>
        </is>
      </c>
      <c r="Q157" s="7" t="inlineStr">
        <is>
          <t>12</t>
        </is>
      </c>
      <c r="R157" s="7" t="inlineStr">
        <is>
          <t>13</t>
        </is>
      </c>
      <c r="S157" s="7" t="inlineStr">
        <is>
          <t>14</t>
        </is>
      </c>
      <c r="T157" s="7" t="inlineStr">
        <is>
          <t>15</t>
        </is>
      </c>
      <c r="U157" s="7" t="inlineStr">
        <is>
          <t>16</t>
        </is>
      </c>
      <c r="V157" s="7" t="inlineStr">
        <is>
          <t>17</t>
        </is>
      </c>
      <c r="W157" s="7" t="inlineStr">
        <is>
          <t>18</t>
        </is>
      </c>
      <c r="X157" s="7" t="inlineStr">
        <is>
          <t>19</t>
        </is>
      </c>
      <c r="Y157" s="7" t="inlineStr">
        <is>
          <t>20</t>
        </is>
      </c>
      <c r="Z157" s="7" t="inlineStr">
        <is>
          <t>21</t>
        </is>
      </c>
      <c r="AA157" s="8" t="inlineStr">
        <is>
          <t>22</t>
        </is>
      </c>
      <c r="AB157" s="7" t="inlineStr">
        <is>
          <t>23</t>
        </is>
      </c>
      <c r="AC157" s="8" t="inlineStr">
        <is>
          <t>24</t>
        </is>
      </c>
      <c r="AD157" s="7" t="inlineStr">
        <is>
          <t>25</t>
        </is>
      </c>
      <c r="AE157" s="7" t="inlineStr">
        <is>
          <t>26</t>
        </is>
      </c>
      <c r="AF157" s="12" t="inlineStr">
        <is>
          <t>27</t>
        </is>
      </c>
      <c r="AG157" s="7" t="inlineStr">
        <is>
          <t>28</t>
        </is>
      </c>
      <c r="AH157" s="7" t="inlineStr">
        <is>
          <t>29</t>
        </is>
      </c>
      <c r="AI157" s="8" t="inlineStr">
        <is>
          <t>30</t>
        </is>
      </c>
      <c r="AJ157" s="8" t="inlineStr">
        <is>
          <t>31</t>
        </is>
      </c>
    </row>
    <row r="158">
      <c r="A158" s="1" t="inlineStr">
        <is>
          <t>41170-3</t>
        </is>
      </c>
      <c r="B158" s="1" t="inlineStr">
        <is>
          <t>HARAGUCHI HR</t>
        </is>
      </c>
      <c r="C158" s="1" t="inlineStr"/>
      <c r="D158" s="1" t="inlineStr">
        <is>
          <t>NTW003</t>
        </is>
      </c>
      <c r="E158" s="1" t="n"/>
      <c r="F158" s="9" t="inlineStr">
        <is>
          <t>72</t>
        </is>
      </c>
      <c r="G158" s="9" t="inlineStr">
        <is>
          <t>---</t>
        </is>
      </c>
      <c r="H158" s="9" t="inlineStr">
        <is>
          <t>71</t>
        </is>
      </c>
      <c r="I158" s="9" t="inlineStr">
        <is>
          <t>*H</t>
        </is>
      </c>
      <c r="J158" s="9" t="inlineStr">
        <is>
          <t>H</t>
        </is>
      </c>
      <c r="K158" s="9" t="inlineStr">
        <is>
          <t>H</t>
        </is>
      </c>
      <c r="L158" s="9" t="inlineStr">
        <is>
          <t>PE
PE TRN
PE
PE TRN</t>
        </is>
      </c>
      <c r="M158" s="9" t="inlineStr">
        <is>
          <t>33
CMD ISR</t>
        </is>
      </c>
      <c r="N158" s="9" t="inlineStr">
        <is>
          <t>---</t>
        </is>
      </c>
      <c r="O158" s="9" t="inlineStr">
        <is>
          <t>32
CMD ISR</t>
        </is>
      </c>
      <c r="P158" s="9" t="inlineStr">
        <is>
          <t>H</t>
        </is>
      </c>
      <c r="Q158" s="9" t="inlineStr">
        <is>
          <t>59</t>
        </is>
      </c>
      <c r="R158" s="9" t="inlineStr">
        <is>
          <t>---</t>
        </is>
      </c>
      <c r="S158" s="9" t="inlineStr">
        <is>
          <t>---</t>
        </is>
      </c>
      <c r="T158" s="9" t="inlineStr">
        <is>
          <t>---</t>
        </is>
      </c>
      <c r="U158" s="9" t="inlineStr">
        <is>
          <t>50</t>
        </is>
      </c>
      <c r="V158" s="9" t="inlineStr">
        <is>
          <t>*H</t>
        </is>
      </c>
      <c r="W158" s="9" t="inlineStr">
        <is>
          <t>H/VAC</t>
        </is>
      </c>
      <c r="X158" s="9" t="inlineStr">
        <is>
          <t>HH</t>
        </is>
      </c>
      <c r="Y158" s="9" t="inlineStr">
        <is>
          <t>HH</t>
        </is>
      </c>
      <c r="Z158" s="9" t="inlineStr">
        <is>
          <t>VACN</t>
        </is>
      </c>
      <c r="AA158" s="9" t="inlineStr">
        <is>
          <t>759
CFM ISR</t>
        </is>
      </c>
      <c r="AB158" s="9" t="inlineStr">
        <is>
          <t>---</t>
        </is>
      </c>
      <c r="AC158" s="9" t="inlineStr">
        <is>
          <t>70
CFM ISR</t>
        </is>
      </c>
      <c r="AD158" s="9" t="inlineStr">
        <is>
          <t>H</t>
        </is>
      </c>
      <c r="AE158" s="9" t="inlineStr">
        <is>
          <t>29</t>
        </is>
      </c>
      <c r="AF158" s="9" t="inlineStr">
        <is>
          <t>736
QPR_ TRN</t>
        </is>
      </c>
      <c r="AG158" s="9" t="inlineStr">
        <is>
          <t>H</t>
        </is>
      </c>
      <c r="AH158" s="9" t="inlineStr">
        <is>
          <t>GMT1</t>
        </is>
      </c>
      <c r="AI158" s="9" t="inlineStr">
        <is>
          <t>99
CAUG ISR</t>
        </is>
      </c>
      <c r="AJ158" s="9" t="inlineStr">
        <is>
          <t>96
CAUG ISR</t>
        </is>
      </c>
    </row>
    <row r="159">
      <c r="A159" s="1" t="inlineStr">
        <is>
          <t>41170-4</t>
        </is>
      </c>
      <c r="B159" s="1" t="inlineStr">
        <is>
          <t>HARAGUCHI HR</t>
        </is>
      </c>
      <c r="C159" s="1" t="inlineStr"/>
      <c r="D159" s="1" t="inlineStr">
        <is>
          <t>NTW003</t>
        </is>
      </c>
      <c r="E159" s="1" t="n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>
        <f>HYPERLINK("#Schedule!F383", "SEKIYO (53828)")</f>
        <v/>
      </c>
      <c r="N159" s="9" t="inlineStr"/>
      <c r="O159" s="9">
        <f>HYPERLINK("#Schedule!F383", "SEKIYO (53828)")</f>
        <v/>
      </c>
      <c r="P159" s="9" t="inlineStr"/>
      <c r="Q159" s="9">
        <f>HYPERLINK("#Schedule!F77", "古池 TO (67650)")</f>
        <v/>
      </c>
      <c r="R159" s="9" t="inlineStr"/>
      <c r="S159" s="9" t="inlineStr"/>
      <c r="T159" s="9" t="inlineStr"/>
      <c r="U159" s="9">
        <f>HYPERLINK("#Schedule!F77", "古池 TO (67650)")</f>
        <v/>
      </c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>
        <f>HYPERLINK("#Schedule!F320", "OTAKA (38601)")</f>
        <v/>
      </c>
      <c r="AJ159" s="9">
        <f>HYPERLINK("#Schedule!F320", "OTAKA (38601)")</f>
        <v/>
      </c>
    </row>
    <row r="160">
      <c r="A160" s="1" t="inlineStr">
        <is>
          <t>41662-1</t>
        </is>
      </c>
      <c r="B160" s="1" t="inlineStr">
        <is>
          <t>OKAMOTO KA</t>
        </is>
      </c>
      <c r="C160" s="1" t="inlineStr"/>
      <c r="D160" s="1" t="inlineStr">
        <is>
          <t>NTW003</t>
        </is>
      </c>
      <c r="E160" s="1" t="n"/>
      <c r="F160" s="4" t="inlineStr">
        <is>
          <t>岡本 KA</t>
        </is>
      </c>
      <c r="G160" s="4" t="inlineStr">
        <is>
          <t>KA</t>
        </is>
      </c>
      <c r="H160" s="4" t="inlineStr">
        <is>
          <t>機種：</t>
        </is>
      </c>
      <c r="I160" s="4" t="inlineStr">
        <is>
          <t>787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00041662</t>
        </is>
      </c>
      <c r="O160" s="4" t="inlineStr">
        <is>
          <t>所属：</t>
        </is>
      </c>
      <c r="P160" s="4" t="inlineStr">
        <is>
          <t>NTZNT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3T250917</t>
        </is>
      </c>
      <c r="U160" s="4" t="inlineStr">
        <is>
          <t>L/D：</t>
        </is>
      </c>
      <c r="V160" s="4" t="inlineStr">
        <is>
          <t>3L250920</t>
        </is>
      </c>
      <c r="W160" s="4" t="inlineStr">
        <is>
          <t>PE：</t>
        </is>
      </c>
      <c r="X160" s="5" t="inlineStr">
        <is>
          <t>PE260709</t>
        </is>
      </c>
      <c r="Y160" s="4" t="inlineStr">
        <is>
          <t>誕生月：</t>
        </is>
      </c>
      <c r="Z160" s="4" t="inlineStr">
        <is>
          <t>11</t>
        </is>
      </c>
      <c r="AA160" s="6" t="inlineStr">
        <is>
          <t>電話：</t>
        </is>
      </c>
      <c r="AB160" s="6" t="inlineStr">
        <is>
          <t>090-6548-2657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NTW003</t>
        </is>
      </c>
    </row>
    <row r="161">
      <c r="A161" s="1" t="inlineStr">
        <is>
          <t>41662-2</t>
        </is>
      </c>
      <c r="B161" s="1" t="inlineStr">
        <is>
          <t>OKAMOTO KA</t>
        </is>
      </c>
      <c r="C161" s="1" t="inlineStr"/>
      <c r="D161" s="1" t="inlineStr">
        <is>
          <t>NTW003</t>
        </is>
      </c>
      <c r="E161" s="1" t="n"/>
      <c r="F161" s="7" t="inlineStr">
        <is>
          <t>01</t>
        </is>
      </c>
      <c r="G161" s="7" t="inlineStr">
        <is>
          <t>02</t>
        </is>
      </c>
      <c r="H161" s="7" t="inlineStr">
        <is>
          <t>03</t>
        </is>
      </c>
      <c r="I161" s="7" t="inlineStr">
        <is>
          <t>04</t>
        </is>
      </c>
      <c r="J161" s="8" t="inlineStr">
        <is>
          <t>05</t>
        </is>
      </c>
      <c r="K161" s="7" t="inlineStr">
        <is>
          <t>06</t>
        </is>
      </c>
      <c r="L161" s="8" t="inlineStr">
        <is>
          <t>07</t>
        </is>
      </c>
      <c r="M161" s="7" t="inlineStr">
        <is>
          <t>08</t>
        </is>
      </c>
      <c r="N161" s="7" t="inlineStr">
        <is>
          <t>09</t>
        </is>
      </c>
      <c r="O161" s="7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7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8" t="inlineStr">
        <is>
          <t>24</t>
        </is>
      </c>
      <c r="AD161" s="8" t="inlineStr">
        <is>
          <t>25</t>
        </is>
      </c>
      <c r="AE161" s="7" t="inlineStr">
        <is>
          <t>26</t>
        </is>
      </c>
      <c r="AF161" s="8" t="inlineStr">
        <is>
          <t>27</t>
        </is>
      </c>
      <c r="AG161" s="8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41662-3</t>
        </is>
      </c>
      <c r="B162" s="1" t="inlineStr">
        <is>
          <t>OKAMOTO KA</t>
        </is>
      </c>
      <c r="C162" s="1" t="inlineStr"/>
      <c r="D162" s="1" t="inlineStr">
        <is>
          <t>NTW003</t>
        </is>
      </c>
      <c r="E162" s="1" t="n"/>
      <c r="F162" s="9" t="inlineStr">
        <is>
          <t>29</t>
        </is>
      </c>
      <c r="G162" s="9" t="inlineStr">
        <is>
          <t>736</t>
        </is>
      </c>
      <c r="H162" s="9" t="inlineStr">
        <is>
          <t>H</t>
        </is>
      </c>
      <c r="I162" s="9" t="inlineStr">
        <is>
          <t>ISR
ISR
#2
11:00-15:00</t>
        </is>
      </c>
      <c r="J162" s="9" t="inlineStr">
        <is>
          <t>8786
CAUG ISR</t>
        </is>
      </c>
      <c r="K162" s="9" t="inlineStr">
        <is>
          <t>---</t>
        </is>
      </c>
      <c r="L162" s="9" t="inlineStr">
        <is>
          <t>791
CAUG ISR
130DH</t>
        </is>
      </c>
      <c r="M162" s="9" t="inlineStr">
        <is>
          <t>*H</t>
        </is>
      </c>
      <c r="N162" s="9" t="inlineStr">
        <is>
          <t>*H</t>
        </is>
      </c>
      <c r="O162" s="9" t="inlineStr">
        <is>
          <t>8</t>
        </is>
      </c>
      <c r="P162" s="9" t="inlineStr">
        <is>
          <t>---</t>
        </is>
      </c>
      <c r="Q162" s="9" t="inlineStr">
        <is>
          <t>---</t>
        </is>
      </c>
      <c r="R162" s="9" t="inlineStr">
        <is>
          <t>7</t>
        </is>
      </c>
      <c r="S162" s="9" t="inlineStr">
        <is>
          <t>*H</t>
        </is>
      </c>
      <c r="T162" s="9" t="inlineStr">
        <is>
          <t>H</t>
        </is>
      </c>
      <c r="U162" s="9" t="inlineStr">
        <is>
          <t>H</t>
        </is>
      </c>
      <c r="V162" s="9" t="inlineStr">
        <is>
          <t>MIDNIT</t>
        </is>
      </c>
      <c r="W162" s="9" t="inlineStr">
        <is>
          <t>77</t>
        </is>
      </c>
      <c r="X162" s="9" t="inlineStr">
        <is>
          <t>746</t>
        </is>
      </c>
      <c r="Y162" s="9" t="inlineStr">
        <is>
          <t>*H</t>
        </is>
      </c>
      <c r="Z162" s="9" t="inlineStr">
        <is>
          <t>R</t>
        </is>
      </c>
      <c r="AA162" s="9" t="inlineStr">
        <is>
          <t>91
RMD ISR
92
RMD ISR</t>
        </is>
      </c>
      <c r="AB162" s="9" t="inlineStr">
        <is>
          <t>H</t>
        </is>
      </c>
      <c r="AC162" s="9" t="inlineStr">
        <is>
          <t>735
CAUG ISR</t>
        </is>
      </c>
      <c r="AD162" s="9" t="inlineStr">
        <is>
          <t>26
CAUG ISR</t>
        </is>
      </c>
      <c r="AE162" s="9" t="inlineStr">
        <is>
          <t>R</t>
        </is>
      </c>
      <c r="AF162" s="9" t="inlineStr">
        <is>
          <t>87
CMD ISR</t>
        </is>
      </c>
      <c r="AG162" s="9" t="inlineStr">
        <is>
          <t>88
CMD ISR</t>
        </is>
      </c>
      <c r="AH162" s="9" t="inlineStr">
        <is>
          <t>GMT1</t>
        </is>
      </c>
      <c r="AI162" s="9" t="inlineStr">
        <is>
          <t>H</t>
        </is>
      </c>
      <c r="AJ162" s="9" t="inlineStr">
        <is>
          <t>H</t>
        </is>
      </c>
    </row>
    <row r="163">
      <c r="A163" s="1" t="inlineStr">
        <is>
          <t>41662-4</t>
        </is>
      </c>
      <c r="B163" s="1" t="inlineStr">
        <is>
          <t>OKAMOTO KA</t>
        </is>
      </c>
      <c r="C163" s="1" t="inlineStr"/>
      <c r="D163" s="1" t="inlineStr">
        <is>
          <t>NTW003</t>
        </is>
      </c>
      <c r="E163" s="1" t="n"/>
      <c r="F163" s="9" t="inlineStr"/>
      <c r="G163" s="9" t="inlineStr"/>
      <c r="H163" s="9" t="inlineStr"/>
      <c r="I163" s="9">
        <f>HYPERLINK("#Schedule!F10", "I佐々木MA (45028)")</f>
        <v/>
      </c>
      <c r="J163" s="9">
        <f>HYPERLINK("#Schedule!F374", "NAKAITO (53882)")</f>
        <v/>
      </c>
      <c r="K163" s="9" t="inlineStr"/>
      <c r="L163" s="9">
        <f>HYPERLINK("#Schedule!F374", "NAKAITO (53882)")</f>
        <v/>
      </c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>
        <f>HYPERLINK("#Schedule!F324", "SUDAME (53827)")</f>
        <v/>
      </c>
      <c r="X163" s="9">
        <f>HYPERLINK("#Schedule!F324", "SUDAME (53827)")</f>
        <v/>
      </c>
      <c r="Y163" s="9" t="inlineStr"/>
      <c r="Z163" s="9" t="inlineStr"/>
      <c r="AA163" s="9">
        <f>HYPERLINK("#Schedule!F299", "OZAWAKO (41266)")</f>
        <v/>
      </c>
      <c r="AB163" s="9" t="inlineStr"/>
      <c r="AC163" s="9">
        <f>HYPERLINK("#Schedule!F320", "OTAKA (38601)")</f>
        <v/>
      </c>
      <c r="AD163" s="9">
        <f>HYPERLINK("#Schedule!F320", "OTAKA (38601)")</f>
        <v/>
      </c>
      <c r="AE163" s="9" t="inlineStr"/>
      <c r="AF163" s="9" t="inlineStr">
        <is>
          <t>ISHIGUROKA</t>
        </is>
      </c>
      <c r="AG163" s="9" t="inlineStr">
        <is>
          <t>ISHIGUROKA</t>
        </is>
      </c>
      <c r="AH163" s="9" t="inlineStr"/>
      <c r="AI163" s="9" t="inlineStr"/>
      <c r="AJ163" s="9" t="inlineStr"/>
    </row>
    <row r="164">
      <c r="A164" s="1" t="inlineStr">
        <is>
          <t>41662-5</t>
        </is>
      </c>
      <c r="B164" s="1" t="inlineStr">
        <is>
          <t>OKAMOTO KA</t>
        </is>
      </c>
      <c r="C164" s="1" t="inlineStr"/>
      <c r="D164" s="1" t="inlineStr">
        <is>
          <t>NTW003</t>
        </is>
      </c>
      <c r="E164" s="1" t="n"/>
      <c r="F164" s="9" t="inlineStr"/>
      <c r="G164" s="9" t="inlineStr"/>
      <c r="H164" s="9" t="inlineStr"/>
      <c r="I164" s="9">
        <f>HYPERLINK("#Schedule!F106", "I森 SH (48994)")</f>
        <v/>
      </c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</row>
    <row r="165">
      <c r="A165" s="1" t="inlineStr">
        <is>
          <t>49240-1</t>
        </is>
      </c>
      <c r="B165" s="1" t="inlineStr">
        <is>
          <t>ITO SE</t>
        </is>
      </c>
      <c r="C165" s="1" t="inlineStr"/>
      <c r="D165" s="1" t="inlineStr">
        <is>
          <t>NTW003</t>
        </is>
      </c>
      <c r="E165" s="1" t="n"/>
      <c r="F165" s="4" t="inlineStr">
        <is>
          <t>伊藤 SE</t>
        </is>
      </c>
      <c r="G165" s="4" t="inlineStr">
        <is>
          <t>SE</t>
        </is>
      </c>
      <c r="H165" s="4" t="inlineStr">
        <is>
          <t>機種：</t>
        </is>
      </c>
      <c r="I165" s="4" t="inlineStr">
        <is>
          <t>787</t>
        </is>
      </c>
      <c r="J165" s="4" t="inlineStr">
        <is>
          <t>ランク：</t>
        </is>
      </c>
      <c r="K165" s="4" t="inlineStr">
        <is>
          <t>CAP</t>
        </is>
      </c>
      <c r="L165" s="4" t="inlineStr">
        <is>
          <t>期：</t>
        </is>
      </c>
      <c r="M165" s="4" t="inlineStr">
        <is>
          <t>職番：</t>
        </is>
      </c>
      <c r="N165" s="4" t="inlineStr">
        <is>
          <t>00049240</t>
        </is>
      </c>
      <c r="O165" s="4" t="inlineStr">
        <is>
          <t>所属：</t>
        </is>
      </c>
      <c r="P165" s="4" t="inlineStr">
        <is>
          <t>NTZNT</t>
        </is>
      </c>
      <c r="Q165" s="4" t="inlineStr">
        <is>
          <t>CAT資：</t>
        </is>
      </c>
      <c r="R165" s="4" t="inlineStr">
        <is>
          <t>CAT3</t>
        </is>
      </c>
      <c r="S165" s="4" t="inlineStr">
        <is>
          <t>T/O：</t>
        </is>
      </c>
      <c r="T165" s="4" t="inlineStr">
        <is>
          <t>3T250829</t>
        </is>
      </c>
      <c r="U165" s="4" t="inlineStr">
        <is>
          <t>L/D：</t>
        </is>
      </c>
      <c r="V165" s="4" t="inlineStr">
        <is>
          <t>3L250829</t>
        </is>
      </c>
      <c r="W165" s="4" t="inlineStr">
        <is>
          <t>PE：</t>
        </is>
      </c>
      <c r="X165" s="5" t="inlineStr">
        <is>
          <t>PE250911</t>
        </is>
      </c>
      <c r="Y165" s="4" t="inlineStr">
        <is>
          <t>誕生月：</t>
        </is>
      </c>
      <c r="Z165" s="4" t="inlineStr">
        <is>
          <t>04</t>
        </is>
      </c>
      <c r="AA165" s="6" t="inlineStr">
        <is>
          <t>電話：</t>
        </is>
      </c>
      <c r="AB165" s="6" t="inlineStr">
        <is>
          <t>03-5531-3088</t>
        </is>
      </c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>
        <is>
          <t>NTW003</t>
        </is>
      </c>
    </row>
    <row r="166">
      <c r="A166" s="1" t="inlineStr">
        <is>
          <t>49240-2</t>
        </is>
      </c>
      <c r="B166" s="1" t="inlineStr">
        <is>
          <t>ITO SE</t>
        </is>
      </c>
      <c r="C166" s="1" t="inlineStr"/>
      <c r="D166" s="1" t="inlineStr">
        <is>
          <t>NTW003</t>
        </is>
      </c>
      <c r="E166" s="1" t="n"/>
      <c r="F166" s="7" t="inlineStr">
        <is>
          <t>01</t>
        </is>
      </c>
      <c r="G166" s="7" t="inlineStr">
        <is>
          <t>02</t>
        </is>
      </c>
      <c r="H166" s="7" t="inlineStr">
        <is>
          <t>03</t>
        </is>
      </c>
      <c r="I166" s="7" t="inlineStr">
        <is>
          <t>04</t>
        </is>
      </c>
      <c r="J166" s="7" t="inlineStr">
        <is>
          <t>05</t>
        </is>
      </c>
      <c r="K166" s="7" t="inlineStr">
        <is>
          <t>06</t>
        </is>
      </c>
      <c r="L166" s="7" t="inlineStr">
        <is>
          <t>07</t>
        </is>
      </c>
      <c r="M166" s="7" t="inlineStr">
        <is>
          <t>08</t>
        </is>
      </c>
      <c r="N166" s="7" t="inlineStr">
        <is>
          <t>09</t>
        </is>
      </c>
      <c r="O166" s="7" t="inlineStr">
        <is>
          <t>10</t>
        </is>
      </c>
      <c r="P166" s="7" t="inlineStr">
        <is>
          <t>11</t>
        </is>
      </c>
      <c r="Q166" s="7" t="inlineStr">
        <is>
          <t>12</t>
        </is>
      </c>
      <c r="R166" s="7" t="inlineStr">
        <is>
          <t>13</t>
        </is>
      </c>
      <c r="S166" s="8" t="inlineStr">
        <is>
          <t>14</t>
        </is>
      </c>
      <c r="T166" s="7" t="inlineStr">
        <is>
          <t>15</t>
        </is>
      </c>
      <c r="U166" s="8" t="inlineStr">
        <is>
          <t>16</t>
        </is>
      </c>
      <c r="V166" s="7" t="inlineStr">
        <is>
          <t>17</t>
        </is>
      </c>
      <c r="W166" s="8" t="inlineStr">
        <is>
          <t>18</t>
        </is>
      </c>
      <c r="X166" s="8" t="inlineStr">
        <is>
          <t>19</t>
        </is>
      </c>
      <c r="Y166" s="7" t="inlineStr">
        <is>
          <t>20</t>
        </is>
      </c>
      <c r="Z166" s="7" t="inlineStr">
        <is>
          <t>21</t>
        </is>
      </c>
      <c r="AA166" s="7" t="inlineStr">
        <is>
          <t>22</t>
        </is>
      </c>
      <c r="AB166" s="7" t="inlineStr">
        <is>
          <t>23</t>
        </is>
      </c>
      <c r="AC166" s="7" t="inlineStr">
        <is>
          <t>24</t>
        </is>
      </c>
      <c r="AD166" s="7" t="inlineStr">
        <is>
          <t>25</t>
        </is>
      </c>
      <c r="AE166" s="7" t="inlineStr">
        <is>
          <t>26</t>
        </is>
      </c>
      <c r="AF166" s="7" t="inlineStr">
        <is>
          <t>27</t>
        </is>
      </c>
      <c r="AG166" s="7" t="inlineStr">
        <is>
          <t>28</t>
        </is>
      </c>
      <c r="AH166" s="7" t="inlineStr">
        <is>
          <t>29</t>
        </is>
      </c>
      <c r="AI166" s="7" t="inlineStr">
        <is>
          <t>30</t>
        </is>
      </c>
      <c r="AJ166" s="8" t="inlineStr">
        <is>
          <t>31</t>
        </is>
      </c>
    </row>
    <row r="167">
      <c r="A167" s="1" t="inlineStr">
        <is>
          <t>49240-3</t>
        </is>
      </c>
      <c r="B167" s="1" t="inlineStr">
        <is>
          <t>ITO SE</t>
        </is>
      </c>
      <c r="C167" s="1" t="inlineStr"/>
      <c r="D167" s="1" t="inlineStr">
        <is>
          <t>NTW003</t>
        </is>
      </c>
      <c r="E167" s="1" t="n"/>
      <c r="F167" s="9" t="inlineStr">
        <is>
          <t>H*/HH</t>
        </is>
      </c>
      <c r="G167" s="9" t="inlineStr">
        <is>
          <t>*H</t>
        </is>
      </c>
      <c r="H167" s="9" t="inlineStr">
        <is>
          <t>*H</t>
        </is>
      </c>
      <c r="I167" s="9" t="inlineStr">
        <is>
          <t>CAUG
ISR
#1
21:00-23:00
OJTS</t>
        </is>
      </c>
      <c r="J167" s="9" t="inlineStr">
        <is>
          <t>RF</t>
        </is>
      </c>
      <c r="K167" s="9" t="inlineStr">
        <is>
          <t>CMD
ISR
#2
19:00-23:00</t>
        </is>
      </c>
      <c r="L167" s="9" t="inlineStr">
        <is>
          <t>62</t>
        </is>
      </c>
      <c r="M167" s="9" t="inlineStr">
        <is>
          <t>---</t>
        </is>
      </c>
      <c r="N167" s="9" t="inlineStr">
        <is>
          <t>---</t>
        </is>
      </c>
      <c r="O167" s="9" t="inlineStr">
        <is>
          <t>61</t>
        </is>
      </c>
      <c r="P167" s="9" t="inlineStr">
        <is>
          <t>*H</t>
        </is>
      </c>
      <c r="Q167" s="9" t="inlineStr">
        <is>
          <t>H</t>
        </is>
      </c>
      <c r="R167" s="9" t="inlineStr">
        <is>
          <t>H</t>
        </is>
      </c>
      <c r="S167" s="9" t="inlineStr">
        <is>
          <t>37
CMD ISR</t>
        </is>
      </c>
      <c r="T167" s="9" t="inlineStr">
        <is>
          <t>---</t>
        </is>
      </c>
      <c r="U167" s="9" t="inlineStr">
        <is>
          <t>36
CMD ISR</t>
        </is>
      </c>
      <c r="V167" s="9" t="inlineStr">
        <is>
          <t>H</t>
        </is>
      </c>
      <c r="W167" s="9" t="inlineStr">
        <is>
          <t>305
CMD ISR
308
CMD ISR
515
CMD ISR</t>
        </is>
      </c>
      <c r="X167" s="9" t="inlineStr">
        <is>
          <t>514
CMD ISR
329
CMD ISR
332
CMD ISR</t>
        </is>
      </c>
      <c r="Y167" s="9" t="inlineStr">
        <is>
          <t>H</t>
        </is>
      </c>
      <c r="Z167" s="9" t="inlineStr">
        <is>
          <t>H</t>
        </is>
      </c>
      <c r="AA167" s="9" t="inlineStr">
        <is>
          <t>R_</t>
        </is>
      </c>
      <c r="AB167" s="9" t="inlineStr">
        <is>
          <t>R_</t>
        </is>
      </c>
      <c r="AC167" s="9" t="inlineStr">
        <is>
          <t>R_</t>
        </is>
      </c>
      <c r="AD167" s="9" t="inlineStr">
        <is>
          <t>HH</t>
        </is>
      </c>
      <c r="AE167" s="9" t="inlineStr">
        <is>
          <t>PH3
ISR
#2
19:00-23:00</t>
        </is>
      </c>
      <c r="AF167" s="9" t="inlineStr">
        <is>
          <t>H</t>
        </is>
      </c>
      <c r="AG167" s="9" t="inlineStr">
        <is>
          <t>R</t>
        </is>
      </c>
      <c r="AH167" s="9" t="inlineStr">
        <is>
          <t>GMT1</t>
        </is>
      </c>
      <c r="AI167" s="9" t="inlineStr">
        <is>
          <t>MIDNIT</t>
        </is>
      </c>
      <c r="AJ167" s="9" t="inlineStr">
        <is>
          <t>77
LEF ISR</t>
        </is>
      </c>
    </row>
    <row r="168">
      <c r="A168" s="1" t="inlineStr">
        <is>
          <t>49240-4</t>
        </is>
      </c>
      <c r="B168" s="1" t="inlineStr">
        <is>
          <t>ITO SE</t>
        </is>
      </c>
      <c r="C168" s="1" t="inlineStr"/>
      <c r="D168" s="1" t="inlineStr">
        <is>
          <t>NTW003</t>
        </is>
      </c>
      <c r="E168" s="1" t="n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>
        <f>HYPERLINK("#Schedule!F392", "HAYASAKAMA (44520)")</f>
        <v/>
      </c>
      <c r="T168" s="9" t="inlineStr"/>
      <c r="U168" s="9">
        <f>HYPERLINK("#Schedule!F392", "HAYASAKAMA (44520)")</f>
        <v/>
      </c>
      <c r="V168" s="9" t="inlineStr"/>
      <c r="W168" s="9">
        <f>HYPERLINK("#Schedule!F370", "YAGIHASHIMS (53785)")</f>
        <v/>
      </c>
      <c r="X168" s="9">
        <f>HYPERLINK("#Schedule!F370", "YAGIHASHIMS (53785)")</f>
        <v/>
      </c>
      <c r="Y168" s="9" t="inlineStr"/>
      <c r="Z168" s="9" t="inlineStr"/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</row>
    <row r="169">
      <c r="A169" s="1" t="inlineStr">
        <is>
          <t>49241-1</t>
        </is>
      </c>
      <c r="B169" s="1" t="inlineStr">
        <is>
          <t>IMAI HI</t>
        </is>
      </c>
      <c r="C169" s="1" t="inlineStr"/>
      <c r="D169" s="1" t="inlineStr">
        <is>
          <t>NTW003</t>
        </is>
      </c>
      <c r="E169" s="1" t="n"/>
      <c r="F169" s="4" t="inlineStr">
        <is>
          <t>今井 HI</t>
        </is>
      </c>
      <c r="G169" s="4" t="inlineStr">
        <is>
          <t>HI</t>
        </is>
      </c>
      <c r="H169" s="4" t="inlineStr">
        <is>
          <t>機種：</t>
        </is>
      </c>
      <c r="I169" s="4" t="inlineStr">
        <is>
          <t>787</t>
        </is>
      </c>
      <c r="J169" s="4" t="inlineStr">
        <is>
          <t>ランク：</t>
        </is>
      </c>
      <c r="K169" s="4" t="inlineStr">
        <is>
          <t>CAP</t>
        </is>
      </c>
      <c r="L169" s="4" t="inlineStr">
        <is>
          <t>期：</t>
        </is>
      </c>
      <c r="M169" s="4" t="inlineStr">
        <is>
          <t>職番：</t>
        </is>
      </c>
      <c r="N169" s="4" t="inlineStr">
        <is>
          <t>00049241</t>
        </is>
      </c>
      <c r="O169" s="4" t="inlineStr">
        <is>
          <t>所属：</t>
        </is>
      </c>
      <c r="P169" s="4" t="inlineStr">
        <is>
          <t>NTZNT</t>
        </is>
      </c>
      <c r="Q169" s="4" t="inlineStr">
        <is>
          <t>CAT資：</t>
        </is>
      </c>
      <c r="R169" s="4" t="inlineStr">
        <is>
          <t>CAT3</t>
        </is>
      </c>
      <c r="S169" s="4" t="inlineStr">
        <is>
          <t>T/O：</t>
        </is>
      </c>
      <c r="T169" s="4" t="inlineStr">
        <is>
          <t>3T250921</t>
        </is>
      </c>
      <c r="U169" s="4" t="inlineStr">
        <is>
          <t>L/D：</t>
        </is>
      </c>
      <c r="V169" s="4" t="inlineStr">
        <is>
          <t>3L250921</t>
        </is>
      </c>
      <c r="W169" s="4" t="inlineStr">
        <is>
          <t>PE：</t>
        </is>
      </c>
      <c r="X169" s="5" t="inlineStr">
        <is>
          <t>PE251008</t>
        </is>
      </c>
      <c r="Y169" s="4" t="inlineStr">
        <is>
          <t>誕生月：</t>
        </is>
      </c>
      <c r="Z169" s="4" t="inlineStr">
        <is>
          <t>11</t>
        </is>
      </c>
      <c r="AA169" s="6" t="inlineStr">
        <is>
          <t>電話：</t>
        </is>
      </c>
      <c r="AB169" s="6" t="inlineStr">
        <is>
          <t>0468-76-1051</t>
        </is>
      </c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>
        <is>
          <t>NTW003</t>
        </is>
      </c>
    </row>
    <row r="170">
      <c r="A170" s="1" t="inlineStr">
        <is>
          <t>49241-2</t>
        </is>
      </c>
      <c r="B170" s="1" t="inlineStr">
        <is>
          <t>IMAI HI</t>
        </is>
      </c>
      <c r="C170" s="1" t="inlineStr"/>
      <c r="D170" s="1" t="inlineStr">
        <is>
          <t>NTW003</t>
        </is>
      </c>
      <c r="E170" s="1" t="n"/>
      <c r="F170" s="7" t="inlineStr">
        <is>
          <t>01</t>
        </is>
      </c>
      <c r="G170" s="8" t="inlineStr">
        <is>
          <t>02</t>
        </is>
      </c>
      <c r="H170" s="8" t="inlineStr">
        <is>
          <t>03</t>
        </is>
      </c>
      <c r="I170" s="7" t="inlineStr">
        <is>
          <t>04</t>
        </is>
      </c>
      <c r="J170" s="7" t="inlineStr">
        <is>
          <t>05</t>
        </is>
      </c>
      <c r="K170" s="7" t="inlineStr">
        <is>
          <t>06</t>
        </is>
      </c>
      <c r="L170" s="7" t="inlineStr">
        <is>
          <t>07</t>
        </is>
      </c>
      <c r="M170" s="7" t="inlineStr">
        <is>
          <t>08</t>
        </is>
      </c>
      <c r="N170" s="7" t="inlineStr">
        <is>
          <t>09</t>
        </is>
      </c>
      <c r="O170" s="7" t="inlineStr">
        <is>
          <t>10</t>
        </is>
      </c>
      <c r="P170" s="7" t="inlineStr">
        <is>
          <t>11</t>
        </is>
      </c>
      <c r="Q170" s="7" t="inlineStr">
        <is>
          <t>12</t>
        </is>
      </c>
      <c r="R170" s="7" t="inlineStr">
        <is>
          <t>13</t>
        </is>
      </c>
      <c r="S170" s="7" t="inlineStr">
        <is>
          <t>14</t>
        </is>
      </c>
      <c r="T170" s="7" t="inlineStr">
        <is>
          <t>15</t>
        </is>
      </c>
      <c r="U170" s="7" t="inlineStr">
        <is>
          <t>16</t>
        </is>
      </c>
      <c r="V170" s="7" t="inlineStr">
        <is>
          <t>17</t>
        </is>
      </c>
      <c r="W170" s="7" t="inlineStr">
        <is>
          <t>18</t>
        </is>
      </c>
      <c r="X170" s="8" t="inlineStr">
        <is>
          <t>19</t>
        </is>
      </c>
      <c r="Y170" s="8" t="inlineStr">
        <is>
          <t>20</t>
        </is>
      </c>
      <c r="Z170" s="7" t="inlineStr">
        <is>
          <t>21</t>
        </is>
      </c>
      <c r="AA170" s="8" t="inlineStr">
        <is>
          <t>22</t>
        </is>
      </c>
      <c r="AB170" s="8" t="inlineStr">
        <is>
          <t>23</t>
        </is>
      </c>
      <c r="AC170" s="7" t="inlineStr">
        <is>
          <t>24</t>
        </is>
      </c>
      <c r="AD170" s="7" t="inlineStr">
        <is>
          <t>25</t>
        </is>
      </c>
      <c r="AE170" s="7" t="inlineStr">
        <is>
          <t>26</t>
        </is>
      </c>
      <c r="AF170" s="7" t="inlineStr">
        <is>
          <t>27</t>
        </is>
      </c>
      <c r="AG170" s="7" t="inlineStr">
        <is>
          <t>28</t>
        </is>
      </c>
      <c r="AH170" s="7" t="inlineStr">
        <is>
          <t>29</t>
        </is>
      </c>
      <c r="AI170" s="10" t="inlineStr">
        <is>
          <t>30</t>
        </is>
      </c>
      <c r="AJ170" s="7" t="inlineStr">
        <is>
          <t>31</t>
        </is>
      </c>
    </row>
    <row r="171">
      <c r="A171" s="1" t="inlineStr">
        <is>
          <t>49241-3</t>
        </is>
      </c>
      <c r="B171" s="1" t="inlineStr">
        <is>
          <t>IMAI HI</t>
        </is>
      </c>
      <c r="C171" s="1" t="inlineStr"/>
      <c r="D171" s="1" t="inlineStr">
        <is>
          <t>NTW003</t>
        </is>
      </c>
      <c r="E171" s="1" t="n"/>
      <c r="F171" s="9" t="inlineStr">
        <is>
          <t>H</t>
        </is>
      </c>
      <c r="G171" s="9" t="inlineStr">
        <is>
          <t>119
CMD ISR
124
CMD ISR
139
CMD ISR</t>
        </is>
      </c>
      <c r="H171" s="9" t="inlineStr">
        <is>
          <t>116
CMD ISR</t>
        </is>
      </c>
      <c r="I171" s="9" t="inlineStr">
        <is>
          <t>H/VAC</t>
        </is>
      </c>
      <c r="J171" s="9" t="inlineStr">
        <is>
          <t>93
94</t>
        </is>
      </c>
      <c r="K171" s="9" t="inlineStr">
        <is>
          <t>H/VAC</t>
        </is>
      </c>
      <c r="L171" s="9" t="inlineStr">
        <is>
          <t>SX</t>
        </is>
      </c>
      <c r="M171" s="9" t="inlineStr">
        <is>
          <t>H*/VAC</t>
        </is>
      </c>
      <c r="N171" s="9" t="inlineStr">
        <is>
          <t>SX
25</t>
        </is>
      </c>
      <c r="O171" s="9" t="inlineStr">
        <is>
          <t>20</t>
        </is>
      </c>
      <c r="P171" s="9" t="inlineStr">
        <is>
          <t>HH</t>
        </is>
      </c>
      <c r="Q171" s="9" t="inlineStr">
        <is>
          <t>HH</t>
        </is>
      </c>
      <c r="R171" s="9" t="inlineStr">
        <is>
          <t>773</t>
        </is>
      </c>
      <c r="S171" s="9" t="inlineStr">
        <is>
          <t>---</t>
        </is>
      </c>
      <c r="T171" s="9" t="inlineStr">
        <is>
          <t>---</t>
        </is>
      </c>
      <c r="U171" s="9" t="inlineStr">
        <is>
          <t>774</t>
        </is>
      </c>
      <c r="V171" s="9" t="inlineStr">
        <is>
          <t>H</t>
        </is>
      </c>
      <c r="W171" s="9" t="inlineStr">
        <is>
          <t>SX</t>
        </is>
      </c>
      <c r="X171" s="9" t="inlineStr">
        <is>
          <t>735
CMD ISR</t>
        </is>
      </c>
      <c r="Y171" s="9" t="inlineStr">
        <is>
          <t>26
CMD ISR</t>
        </is>
      </c>
      <c r="Z171" s="9" t="inlineStr">
        <is>
          <t>H</t>
        </is>
      </c>
      <c r="AA171" s="9" t="inlineStr">
        <is>
          <t>505
CMD ISR
506
CMD ISR
517
CMD ISR</t>
        </is>
      </c>
      <c r="AB171" s="9" t="inlineStr">
        <is>
          <t>516
CMD ISR
527
CMD ISR
528
CMD ISR</t>
        </is>
      </c>
      <c r="AC171" s="9" t="inlineStr">
        <is>
          <t>H</t>
        </is>
      </c>
      <c r="AD171" s="9" t="inlineStr">
        <is>
          <t>R</t>
        </is>
      </c>
      <c r="AE171" s="9" t="inlineStr">
        <is>
          <t>R</t>
        </is>
      </c>
      <c r="AF171" s="9" t="inlineStr">
        <is>
          <t>R</t>
        </is>
      </c>
      <c r="AG171" s="9" t="inlineStr">
        <is>
          <t>H</t>
        </is>
      </c>
      <c r="AH171" s="9" t="inlineStr">
        <is>
          <t>GMT1</t>
        </is>
      </c>
      <c r="AI171" s="9" t="inlineStr">
        <is>
          <t>M12
ISR
#1
19:00-23:00</t>
        </is>
      </c>
      <c r="AJ171" s="9" t="inlineStr">
        <is>
          <t>H</t>
        </is>
      </c>
    </row>
    <row r="172">
      <c r="A172" s="1" t="inlineStr">
        <is>
          <t>49241-4</t>
        </is>
      </c>
      <c r="B172" s="1" t="inlineStr">
        <is>
          <t>IMAI HI</t>
        </is>
      </c>
      <c r="C172" s="1" t="inlineStr"/>
      <c r="D172" s="1" t="inlineStr">
        <is>
          <t>NTW003</t>
        </is>
      </c>
      <c r="E172" s="1" t="n"/>
      <c r="F172" s="9" t="inlineStr"/>
      <c r="G172" s="9">
        <f>HYPERLINK("#Schedule!F383", "SEKIYO (53828)")</f>
        <v/>
      </c>
      <c r="H172" s="9">
        <f>HYPERLINK("#Schedule!F383", "SEKIYO (53828)")</f>
        <v/>
      </c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inlineStr"/>
      <c r="R172" s="9">
        <f>HYPERLINK("#Schedule!F217", "上垣 NO (44871)")</f>
        <v/>
      </c>
      <c r="S172" s="9" t="inlineStr"/>
      <c r="T172" s="9" t="inlineStr"/>
      <c r="U172" s="9">
        <f>HYPERLINK("#Schedule!F217", "上垣 NO (44871)")</f>
        <v/>
      </c>
      <c r="V172" s="9" t="inlineStr"/>
      <c r="W172" s="9" t="inlineStr"/>
      <c r="X172" s="9">
        <f>HYPERLINK("#Schedule!F404", "NISHIHARATA (41200)")</f>
        <v/>
      </c>
      <c r="Y172" s="9">
        <f>HYPERLINK("#Schedule!F404", "NISHIHARATA (41200)")</f>
        <v/>
      </c>
      <c r="Z172" s="9" t="inlineStr"/>
      <c r="AA172" s="9">
        <f>HYPERLINK("#Schedule!F338", "SAITOYT (53880)")</f>
        <v/>
      </c>
      <c r="AB172" s="9">
        <f>HYPERLINK("#Schedule!F338", "SAITOYT (53880)")</f>
        <v/>
      </c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</row>
    <row r="173">
      <c r="A173" s="1" t="inlineStr">
        <is>
          <t>42421-1</t>
        </is>
      </c>
      <c r="B173" s="1" t="inlineStr">
        <is>
          <t>FUJINO AK</t>
        </is>
      </c>
      <c r="C173" s="1" t="inlineStr"/>
      <c r="D173" s="1" t="inlineStr">
        <is>
          <t>NTW004</t>
        </is>
      </c>
      <c r="E173" s="1" t="n"/>
      <c r="F173" s="4" t="inlineStr">
        <is>
          <t>藤野 AK</t>
        </is>
      </c>
      <c r="G173" s="4" t="inlineStr">
        <is>
          <t>AK</t>
        </is>
      </c>
      <c r="H173" s="4" t="inlineStr">
        <is>
          <t>機種：</t>
        </is>
      </c>
      <c r="I173" s="4" t="inlineStr">
        <is>
          <t>787</t>
        </is>
      </c>
      <c r="J173" s="4" t="inlineStr">
        <is>
          <t>ランク：</t>
        </is>
      </c>
      <c r="K173" s="4" t="inlineStr">
        <is>
          <t>CAP</t>
        </is>
      </c>
      <c r="L173" s="4" t="inlineStr">
        <is>
          <t>期：</t>
        </is>
      </c>
      <c r="M173" s="4" t="inlineStr">
        <is>
          <t>職番：</t>
        </is>
      </c>
      <c r="N173" s="4" t="inlineStr">
        <is>
          <t>00042421</t>
        </is>
      </c>
      <c r="O173" s="4" t="inlineStr">
        <is>
          <t>所属：</t>
        </is>
      </c>
      <c r="P173" s="4" t="inlineStr">
        <is>
          <t>NTZNT</t>
        </is>
      </c>
      <c r="Q173" s="4" t="inlineStr">
        <is>
          <t>CAT資：</t>
        </is>
      </c>
      <c r="R173" s="4" t="inlineStr">
        <is>
          <t>CAT3</t>
        </is>
      </c>
      <c r="S173" s="4" t="inlineStr">
        <is>
          <t>T/O：</t>
        </is>
      </c>
      <c r="T173" s="4" t="inlineStr">
        <is>
          <t>3T250810</t>
        </is>
      </c>
      <c r="U173" s="4" t="inlineStr">
        <is>
          <t>L/D：</t>
        </is>
      </c>
      <c r="V173" s="4" t="inlineStr">
        <is>
          <t>3L250810</t>
        </is>
      </c>
      <c r="W173" s="4" t="inlineStr">
        <is>
          <t>PE：</t>
        </is>
      </c>
      <c r="X173" s="5" t="inlineStr">
        <is>
          <t>PE250720</t>
        </is>
      </c>
      <c r="Y173" s="4" t="inlineStr">
        <is>
          <t>誕生月：</t>
        </is>
      </c>
      <c r="Z173" s="4" t="inlineStr">
        <is>
          <t>05</t>
        </is>
      </c>
      <c r="AA173" s="6" t="inlineStr">
        <is>
          <t>電話：</t>
        </is>
      </c>
      <c r="AB173" s="6" t="inlineStr">
        <is>
          <t>043-291-8420</t>
        </is>
      </c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>
        <is>
          <t>NTW004</t>
        </is>
      </c>
    </row>
    <row r="174">
      <c r="A174" s="1" t="inlineStr">
        <is>
          <t>42421-2</t>
        </is>
      </c>
      <c r="B174" s="1" t="inlineStr">
        <is>
          <t>FUJINO AK</t>
        </is>
      </c>
      <c r="C174" s="1" t="inlineStr"/>
      <c r="D174" s="1" t="inlineStr">
        <is>
          <t>NTW004</t>
        </is>
      </c>
      <c r="E174" s="1" t="n"/>
      <c r="F174" s="8" t="inlineStr">
        <is>
          <t>01</t>
        </is>
      </c>
      <c r="G174" s="7" t="inlineStr">
        <is>
          <t>02</t>
        </is>
      </c>
      <c r="H174" s="7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7" t="inlineStr">
        <is>
          <t>08</t>
        </is>
      </c>
      <c r="N174" s="7" t="inlineStr">
        <is>
          <t>09</t>
        </is>
      </c>
      <c r="O174" s="7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8" t="inlineStr">
        <is>
          <t>13</t>
        </is>
      </c>
      <c r="S174" s="7" t="inlineStr">
        <is>
          <t>14</t>
        </is>
      </c>
      <c r="T174" s="8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7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10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42421-3</t>
        </is>
      </c>
      <c r="B175" s="1" t="inlineStr">
        <is>
          <t>FUJINO AK</t>
        </is>
      </c>
      <c r="C175" s="1" t="inlineStr"/>
      <c r="D175" s="1" t="inlineStr">
        <is>
          <t>NTW004</t>
        </is>
      </c>
      <c r="E175" s="1" t="n"/>
      <c r="F175" s="9" t="inlineStr">
        <is>
          <t>116
VLDE ISR
125
VLDE ISR
128
VLDE ISR</t>
        </is>
      </c>
      <c r="G175" s="9" t="inlineStr">
        <is>
          <t>H</t>
        </is>
      </c>
      <c r="H175" s="9" t="inlineStr">
        <is>
          <t>RF</t>
        </is>
      </c>
      <c r="I175" s="9" t="inlineStr">
        <is>
          <t>PH3
ISR</t>
        </is>
      </c>
      <c r="J175" s="9" t="inlineStr">
        <is>
          <t>H</t>
        </is>
      </c>
      <c r="K175" s="9" t="inlineStr">
        <is>
          <t>H</t>
        </is>
      </c>
      <c r="L175" s="9" t="inlineStr">
        <is>
          <t>BFG</t>
        </is>
      </c>
      <c r="M175" s="9" t="inlineStr">
        <is>
          <t>MTG1</t>
        </is>
      </c>
      <c r="N175" s="9" t="inlineStr">
        <is>
          <t>NTZ1</t>
        </is>
      </c>
      <c r="O175" s="9" t="inlineStr">
        <is>
          <t>NTW1</t>
        </is>
      </c>
      <c r="P175" s="9" t="inlineStr">
        <is>
          <t>H</t>
        </is>
      </c>
      <c r="Q175" s="9" t="inlineStr">
        <is>
          <t>H</t>
        </is>
      </c>
      <c r="R175" s="9" t="inlineStr">
        <is>
          <t>725
CAUG ISR</t>
        </is>
      </c>
      <c r="S175" s="9" t="inlineStr">
        <is>
          <t>---</t>
        </is>
      </c>
      <c r="T175" s="9" t="inlineStr">
        <is>
          <t>726
CAUG ISR</t>
        </is>
      </c>
      <c r="U175" s="9" t="inlineStr">
        <is>
          <t>H</t>
        </is>
      </c>
      <c r="V175" s="9" t="inlineStr">
        <is>
          <t>OAM1</t>
        </is>
      </c>
      <c r="W175" s="9" t="inlineStr">
        <is>
          <t>SX</t>
        </is>
      </c>
      <c r="X175" s="9" t="inlineStr">
        <is>
          <t>NTW1</t>
        </is>
      </c>
      <c r="Y175" s="9" t="inlineStr">
        <is>
          <t>MTG1</t>
        </is>
      </c>
      <c r="Z175" s="9" t="inlineStr">
        <is>
          <t>MTG1</t>
        </is>
      </c>
      <c r="AA175" s="9" t="inlineStr">
        <is>
          <t>HH</t>
        </is>
      </c>
      <c r="AB175" s="9" t="inlineStr">
        <is>
          <t>H</t>
        </is>
      </c>
      <c r="AC175" s="9" t="inlineStr">
        <is>
          <t>23
24</t>
        </is>
      </c>
      <c r="AD175" s="9" t="inlineStr">
        <is>
          <t>H</t>
        </is>
      </c>
      <c r="AE175" s="9" t="inlineStr">
        <is>
          <t>APO</t>
        </is>
      </c>
      <c r="AF175" s="9" t="inlineStr">
        <is>
          <t>M12
ISR
#1
15:00-19:00</t>
        </is>
      </c>
      <c r="AG175" s="9" t="inlineStr">
        <is>
          <t>NTW1</t>
        </is>
      </c>
      <c r="AH175" s="9" t="inlineStr">
        <is>
          <t>GMT1</t>
        </is>
      </c>
      <c r="AI175" s="9" t="inlineStr">
        <is>
          <t>HH</t>
        </is>
      </c>
      <c r="AJ175" s="9" t="inlineStr">
        <is>
          <t>VAC</t>
        </is>
      </c>
    </row>
    <row r="176">
      <c r="A176" s="1" t="inlineStr">
        <is>
          <t>42421-4</t>
        </is>
      </c>
      <c r="B176" s="1" t="inlineStr">
        <is>
          <t>FUJINO AK</t>
        </is>
      </c>
      <c r="C176" s="1" t="inlineStr"/>
      <c r="D176" s="1" t="inlineStr">
        <is>
          <t>NTW004</t>
        </is>
      </c>
      <c r="E176" s="1" t="n"/>
      <c r="F176" s="9">
        <f>HYPERLINK("#Schedule!F350", "NAKAJIMATA (51865)")</f>
        <v/>
      </c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>
        <f>HYPERLINK("#Schedule!F320", "OTAKA (38601)")</f>
        <v/>
      </c>
      <c r="S176" s="9" t="inlineStr"/>
      <c r="T176" s="9">
        <f>HYPERLINK("#Schedule!F320", "OTAKA (38601)")</f>
        <v/>
      </c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inlineStr"/>
      <c r="AE176" s="9" t="inlineStr"/>
      <c r="AF176" s="11">
        <f>HYPERLINK("#Schedule!F182", "I髙瀨 MA (67264)")</f>
        <v/>
      </c>
      <c r="AG176" s="9" t="inlineStr"/>
      <c r="AH176" s="9" t="inlineStr"/>
      <c r="AI176" s="9" t="inlineStr"/>
      <c r="AJ176" s="9" t="inlineStr"/>
    </row>
    <row r="177">
      <c r="A177" s="1" t="inlineStr">
        <is>
          <t>41384-1</t>
        </is>
      </c>
      <c r="B177" s="1" t="inlineStr">
        <is>
          <t>ENDO TA</t>
        </is>
      </c>
      <c r="C177" s="1" t="inlineStr"/>
      <c r="D177" s="1" t="inlineStr">
        <is>
          <t>NTW004</t>
        </is>
      </c>
      <c r="E177" s="1" t="n"/>
      <c r="F177" s="4" t="inlineStr">
        <is>
          <t>遠藤 TA</t>
        </is>
      </c>
      <c r="G177" s="4" t="inlineStr">
        <is>
          <t>TA</t>
        </is>
      </c>
      <c r="H177" s="4" t="inlineStr">
        <is>
          <t>機種：</t>
        </is>
      </c>
      <c r="I177" s="4" t="inlineStr">
        <is>
          <t>787</t>
        </is>
      </c>
      <c r="J177" s="4" t="inlineStr">
        <is>
          <t>ランク：</t>
        </is>
      </c>
      <c r="K177" s="4" t="inlineStr">
        <is>
          <t>CAP</t>
        </is>
      </c>
      <c r="L177" s="4" t="inlineStr">
        <is>
          <t>期：</t>
        </is>
      </c>
      <c r="M177" s="4" t="inlineStr">
        <is>
          <t>職番：</t>
        </is>
      </c>
      <c r="N177" s="4" t="inlineStr">
        <is>
          <t>00041384</t>
        </is>
      </c>
      <c r="O177" s="4" t="inlineStr">
        <is>
          <t>所属：</t>
        </is>
      </c>
      <c r="P177" s="4" t="inlineStr">
        <is>
          <t>NTZNT</t>
        </is>
      </c>
      <c r="Q177" s="4" t="inlineStr">
        <is>
          <t>CAT資：</t>
        </is>
      </c>
      <c r="R177" s="4" t="inlineStr">
        <is>
          <t>CAT3</t>
        </is>
      </c>
      <c r="S177" s="4" t="inlineStr">
        <is>
          <t>T/O：</t>
        </is>
      </c>
      <c r="T177" s="4" t="inlineStr">
        <is>
          <t>3T250917</t>
        </is>
      </c>
      <c r="U177" s="4" t="inlineStr">
        <is>
          <t>L/D：</t>
        </is>
      </c>
      <c r="V177" s="4" t="inlineStr">
        <is>
          <t>3L250916</t>
        </is>
      </c>
      <c r="W177" s="4" t="inlineStr">
        <is>
          <t>PE：</t>
        </is>
      </c>
      <c r="X177" s="5" t="inlineStr">
        <is>
          <t>PE260804</t>
        </is>
      </c>
      <c r="Y177" s="4" t="inlineStr">
        <is>
          <t>誕生月：</t>
        </is>
      </c>
      <c r="Z177" s="4" t="inlineStr">
        <is>
          <t>12</t>
        </is>
      </c>
      <c r="AA177" s="6" t="inlineStr">
        <is>
          <t>電話：</t>
        </is>
      </c>
      <c r="AB177" s="6" t="inlineStr">
        <is>
          <t>070-8908-4767</t>
        </is>
      </c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>
        <is>
          <t>NTW004</t>
        </is>
      </c>
    </row>
    <row r="178">
      <c r="A178" s="1" t="inlineStr">
        <is>
          <t>41384-2</t>
        </is>
      </c>
      <c r="B178" s="1" t="inlineStr">
        <is>
          <t>ENDO TA</t>
        </is>
      </c>
      <c r="C178" s="1" t="inlineStr"/>
      <c r="D178" s="1" t="inlineStr">
        <is>
          <t>NTW004</t>
        </is>
      </c>
      <c r="E178" s="1" t="n"/>
      <c r="F178" s="7" t="inlineStr">
        <is>
          <t>01</t>
        </is>
      </c>
      <c r="G178" s="7" t="inlineStr">
        <is>
          <t>02</t>
        </is>
      </c>
      <c r="H178" s="7" t="inlineStr">
        <is>
          <t>03</t>
        </is>
      </c>
      <c r="I178" s="7" t="inlineStr">
        <is>
          <t>04</t>
        </is>
      </c>
      <c r="J178" s="8" t="inlineStr">
        <is>
          <t>05</t>
        </is>
      </c>
      <c r="K178" s="8" t="inlineStr">
        <is>
          <t>06</t>
        </is>
      </c>
      <c r="L178" s="7" t="inlineStr">
        <is>
          <t>07</t>
        </is>
      </c>
      <c r="M178" s="7" t="inlineStr">
        <is>
          <t>08</t>
        </is>
      </c>
      <c r="N178" s="7" t="inlineStr">
        <is>
          <t>09</t>
        </is>
      </c>
      <c r="O178" s="7" t="inlineStr">
        <is>
          <t>10</t>
        </is>
      </c>
      <c r="P178" s="7" t="inlineStr">
        <is>
          <t>11</t>
        </is>
      </c>
      <c r="Q178" s="7" t="inlineStr">
        <is>
          <t>12</t>
        </is>
      </c>
      <c r="R178" s="7" t="inlineStr">
        <is>
          <t>13</t>
        </is>
      </c>
      <c r="S178" s="7" t="inlineStr">
        <is>
          <t>14</t>
        </is>
      </c>
      <c r="T178" s="7" t="inlineStr">
        <is>
          <t>15</t>
        </is>
      </c>
      <c r="U178" s="7" t="inlineStr">
        <is>
          <t>16</t>
        </is>
      </c>
      <c r="V178" s="10" t="inlineStr">
        <is>
          <t>17</t>
        </is>
      </c>
      <c r="W178" s="7" t="inlineStr">
        <is>
          <t>18</t>
        </is>
      </c>
      <c r="X178" s="7" t="inlineStr">
        <is>
          <t>19</t>
        </is>
      </c>
      <c r="Y178" s="7" t="inlineStr">
        <is>
          <t>20</t>
        </is>
      </c>
      <c r="Z178" s="7" t="inlineStr">
        <is>
          <t>21</t>
        </is>
      </c>
      <c r="AA178" s="7" t="inlineStr">
        <is>
          <t>22</t>
        </is>
      </c>
      <c r="AB178" s="7" t="inlineStr">
        <is>
          <t>23</t>
        </is>
      </c>
      <c r="AC178" s="7" t="inlineStr">
        <is>
          <t>24</t>
        </is>
      </c>
      <c r="AD178" s="7" t="inlineStr">
        <is>
          <t>25</t>
        </is>
      </c>
      <c r="AE178" s="7" t="inlineStr">
        <is>
          <t>26</t>
        </is>
      </c>
      <c r="AF178" s="7" t="inlineStr">
        <is>
          <t>27</t>
        </is>
      </c>
      <c r="AG178" s="7" t="inlineStr">
        <is>
          <t>28</t>
        </is>
      </c>
      <c r="AH178" s="7" t="inlineStr">
        <is>
          <t>29</t>
        </is>
      </c>
      <c r="AI178" s="7" t="inlineStr">
        <is>
          <t>30</t>
        </is>
      </c>
      <c r="AJ178" s="7" t="inlineStr">
        <is>
          <t>31</t>
        </is>
      </c>
    </row>
    <row r="179">
      <c r="A179" s="1" t="inlineStr">
        <is>
          <t>41384-3</t>
        </is>
      </c>
      <c r="B179" s="1" t="inlineStr">
        <is>
          <t>ENDO TA</t>
        </is>
      </c>
      <c r="C179" s="1" t="inlineStr"/>
      <c r="D179" s="1" t="inlineStr">
        <is>
          <t>NTW004</t>
        </is>
      </c>
      <c r="E179" s="1" t="n"/>
      <c r="F179" s="9" t="inlineStr">
        <is>
          <t>*H</t>
        </is>
      </c>
      <c r="G179" s="9" t="inlineStr">
        <is>
          <t>*H</t>
        </is>
      </c>
      <c r="H179" s="9" t="inlineStr">
        <is>
          <t>*H</t>
        </is>
      </c>
      <c r="I179" s="9" t="inlineStr">
        <is>
          <t>221DH</t>
        </is>
      </c>
      <c r="J179" s="9" t="inlineStr">
        <is>
          <t>727
CFM ISR</t>
        </is>
      </c>
      <c r="K179" s="9" t="inlineStr">
        <is>
          <t>708
CFM ISR</t>
        </is>
      </c>
      <c r="L179" s="9" t="inlineStr">
        <is>
          <t>*H</t>
        </is>
      </c>
      <c r="M179" s="9" t="inlineStr">
        <is>
          <t>59</t>
        </is>
      </c>
      <c r="N179" s="9" t="inlineStr">
        <is>
          <t>---</t>
        </is>
      </c>
      <c r="O179" s="9" t="inlineStr">
        <is>
          <t>---</t>
        </is>
      </c>
      <c r="P179" s="9" t="inlineStr">
        <is>
          <t>---</t>
        </is>
      </c>
      <c r="Q179" s="9" t="inlineStr">
        <is>
          <t>50</t>
        </is>
      </c>
      <c r="R179" s="9" t="inlineStr">
        <is>
          <t>*H</t>
        </is>
      </c>
      <c r="S179" s="9" t="inlineStr">
        <is>
          <t>*H</t>
        </is>
      </c>
      <c r="T179" s="9" t="inlineStr">
        <is>
          <t>MTG1</t>
        </is>
      </c>
      <c r="U179" s="9" t="inlineStr">
        <is>
          <t>NTW1</t>
        </is>
      </c>
      <c r="V179" s="9" t="inlineStr">
        <is>
          <t>M12
ISR
#2
19:00-23:00</t>
        </is>
      </c>
      <c r="W179" s="9" t="inlineStr">
        <is>
          <t>BLK</t>
        </is>
      </c>
      <c r="X179" s="9" t="inlineStr">
        <is>
          <t>8786</t>
        </is>
      </c>
      <c r="Y179" s="9" t="inlineStr">
        <is>
          <t>---</t>
        </is>
      </c>
      <c r="Z179" s="9" t="inlineStr">
        <is>
          <t>791
130DH</t>
        </is>
      </c>
      <c r="AA179" s="9" t="inlineStr">
        <is>
          <t>*H</t>
        </is>
      </c>
      <c r="AB179" s="9" t="inlineStr">
        <is>
          <t>H/PEC</t>
        </is>
      </c>
      <c r="AC179" s="9" t="inlineStr">
        <is>
          <t>H</t>
        </is>
      </c>
      <c r="AD179" s="9" t="inlineStr">
        <is>
          <t>R</t>
        </is>
      </c>
      <c r="AE179" s="9" t="inlineStr">
        <is>
          <t>BT</t>
        </is>
      </c>
      <c r="AF179" s="9" t="inlineStr">
        <is>
          <t>BT</t>
        </is>
      </c>
      <c r="AG179" s="9" t="inlineStr">
        <is>
          <t>FOTR
ISR
#7
15:20-18:20
FOTR/CHK</t>
        </is>
      </c>
      <c r="AH179" s="9" t="inlineStr">
        <is>
          <t>H</t>
        </is>
      </c>
      <c r="AI179" s="9" t="inlineStr">
        <is>
          <t>FOTR
ISR
#7
15:20-18:20
FOTR/CHK</t>
        </is>
      </c>
      <c r="AJ179" s="9" t="inlineStr">
        <is>
          <t>BT</t>
        </is>
      </c>
    </row>
    <row r="180">
      <c r="A180" s="1" t="inlineStr">
        <is>
          <t>41384-4</t>
        </is>
      </c>
      <c r="B180" s="1" t="inlineStr">
        <is>
          <t>ENDO TA</t>
        </is>
      </c>
      <c r="C180" s="1" t="inlineStr"/>
      <c r="D180" s="1" t="inlineStr">
        <is>
          <t>NTW004</t>
        </is>
      </c>
      <c r="E180" s="1" t="n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>
        <is>
          <t>I宮本 KA</t>
        </is>
      </c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>
        <is>
          <t>I植田 OS</t>
        </is>
      </c>
      <c r="AH180" s="9" t="inlineStr"/>
      <c r="AI180" s="9" t="inlineStr">
        <is>
          <t>I中元 KA</t>
        </is>
      </c>
      <c r="AJ180" s="9" t="inlineStr"/>
    </row>
    <row r="181">
      <c r="A181" s="1" t="inlineStr">
        <is>
          <t>41384-5</t>
        </is>
      </c>
      <c r="B181" s="1" t="inlineStr">
        <is>
          <t>ENDO TA</t>
        </is>
      </c>
      <c r="C181" s="1" t="inlineStr"/>
      <c r="D181" s="1" t="inlineStr">
        <is>
          <t>NTW004</t>
        </is>
      </c>
      <c r="E181" s="1" t="n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11">
        <f>HYPERLINK("#Schedule!F182", "T髙瀨 MA (67264)")</f>
        <v/>
      </c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</row>
    <row r="182">
      <c r="A182" s="1" t="inlineStr">
        <is>
          <t>67264-1</t>
        </is>
      </c>
      <c r="B182" s="1" t="inlineStr">
        <is>
          <t>TAKASE MA</t>
        </is>
      </c>
      <c r="C182" s="1" t="inlineStr"/>
      <c r="D182" s="1" t="inlineStr">
        <is>
          <t>NTW004</t>
        </is>
      </c>
      <c r="E182" s="1" t="n"/>
      <c r="F182" s="4" t="inlineStr">
        <is>
          <t>髙瀨 MA</t>
        </is>
      </c>
      <c r="G182" s="4" t="inlineStr">
        <is>
          <t>MA</t>
        </is>
      </c>
      <c r="H182" s="4" t="inlineStr">
        <is>
          <t>機種：</t>
        </is>
      </c>
      <c r="I182" s="4" t="inlineStr">
        <is>
          <t>787</t>
        </is>
      </c>
      <c r="J182" s="4" t="inlineStr">
        <is>
          <t>ランク：</t>
        </is>
      </c>
      <c r="K182" s="4" t="inlineStr">
        <is>
          <t>CAP</t>
        </is>
      </c>
      <c r="L182" s="4" t="inlineStr">
        <is>
          <t>期：</t>
        </is>
      </c>
      <c r="M182" s="4" t="inlineStr">
        <is>
          <t>職番：</t>
        </is>
      </c>
      <c r="N182" s="4" t="inlineStr">
        <is>
          <t>00067264</t>
        </is>
      </c>
      <c r="O182" s="4" t="inlineStr">
        <is>
          <t>所属：</t>
        </is>
      </c>
      <c r="P182" s="4" t="inlineStr">
        <is>
          <t>NTZNT</t>
        </is>
      </c>
      <c r="Q182" s="4" t="inlineStr">
        <is>
          <t>CAT資：</t>
        </is>
      </c>
      <c r="R182" s="4" t="inlineStr">
        <is>
          <t>CAT3</t>
        </is>
      </c>
      <c r="S182" s="4" t="inlineStr">
        <is>
          <t>T/O：</t>
        </is>
      </c>
      <c r="T182" s="4" t="inlineStr">
        <is>
          <t>3T251013</t>
        </is>
      </c>
      <c r="U182" s="4" t="inlineStr">
        <is>
          <t>L/D：</t>
        </is>
      </c>
      <c r="V182" s="4" t="inlineStr">
        <is>
          <t>3L251014</t>
        </is>
      </c>
      <c r="W182" s="4" t="inlineStr">
        <is>
          <t>PE：</t>
        </is>
      </c>
      <c r="X182" s="5" t="inlineStr">
        <is>
          <t>PE251111</t>
        </is>
      </c>
      <c r="Y182" s="4" t="inlineStr">
        <is>
          <t>誕生月：</t>
        </is>
      </c>
      <c r="Z182" s="4" t="inlineStr">
        <is>
          <t>10</t>
        </is>
      </c>
      <c r="AA182" s="6" t="inlineStr">
        <is>
          <t>電話：</t>
        </is>
      </c>
      <c r="AB182" s="6" t="inlineStr">
        <is>
          <t>090-1777-9811</t>
        </is>
      </c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>
        <is>
          <t>NTW004</t>
        </is>
      </c>
    </row>
    <row r="183">
      <c r="A183" s="1" t="inlineStr">
        <is>
          <t>67264-2</t>
        </is>
      </c>
      <c r="B183" s="1" t="inlineStr">
        <is>
          <t>TAKASE MA</t>
        </is>
      </c>
      <c r="C183" s="1" t="inlineStr"/>
      <c r="D183" s="1" t="inlineStr">
        <is>
          <t>NTW004</t>
        </is>
      </c>
      <c r="E183" s="1" t="n"/>
      <c r="F183" s="8" t="inlineStr">
        <is>
          <t>01</t>
        </is>
      </c>
      <c r="G183" s="7" t="inlineStr">
        <is>
          <t>02</t>
        </is>
      </c>
      <c r="H183" s="8" t="inlineStr">
        <is>
          <t>03</t>
        </is>
      </c>
      <c r="I183" s="7" t="inlineStr">
        <is>
          <t>04</t>
        </is>
      </c>
      <c r="J183" s="10" t="inlineStr">
        <is>
          <t>05</t>
        </is>
      </c>
      <c r="K183" s="8" t="inlineStr">
        <is>
          <t>06</t>
        </is>
      </c>
      <c r="L183" s="8" t="inlineStr">
        <is>
          <t>07</t>
        </is>
      </c>
      <c r="M183" s="7" t="inlineStr">
        <is>
          <t>08</t>
        </is>
      </c>
      <c r="N183" s="7" t="inlineStr">
        <is>
          <t>09</t>
        </is>
      </c>
      <c r="O183" s="7" t="inlineStr">
        <is>
          <t>10</t>
        </is>
      </c>
      <c r="P183" s="7" t="inlineStr">
        <is>
          <t>11</t>
        </is>
      </c>
      <c r="Q183" s="7" t="inlineStr">
        <is>
          <t>12</t>
        </is>
      </c>
      <c r="R183" s="7" t="inlineStr">
        <is>
          <t>13</t>
        </is>
      </c>
      <c r="S183" s="7" t="inlineStr">
        <is>
          <t>14</t>
        </is>
      </c>
      <c r="T183" s="7" t="inlineStr">
        <is>
          <t>15</t>
        </is>
      </c>
      <c r="U183" s="12" t="inlineStr">
        <is>
          <t>16</t>
        </is>
      </c>
      <c r="V183" s="12" t="inlineStr">
        <is>
          <t>17</t>
        </is>
      </c>
      <c r="W183" s="7" t="inlineStr">
        <is>
          <t>18</t>
        </is>
      </c>
      <c r="X183" s="8" t="inlineStr">
        <is>
          <t>19</t>
        </is>
      </c>
      <c r="Y183" s="7" t="inlineStr">
        <is>
          <t>20</t>
        </is>
      </c>
      <c r="Z183" s="8" t="inlineStr">
        <is>
          <t>21</t>
        </is>
      </c>
      <c r="AA183" s="7" t="inlineStr">
        <is>
          <t>22</t>
        </is>
      </c>
      <c r="AB183" s="7" t="inlineStr">
        <is>
          <t>23</t>
        </is>
      </c>
      <c r="AC183" s="8" t="inlineStr">
        <is>
          <t>24</t>
        </is>
      </c>
      <c r="AD183" s="7" t="inlineStr">
        <is>
          <t>25</t>
        </is>
      </c>
      <c r="AE183" s="7" t="inlineStr">
        <is>
          <t>26</t>
        </is>
      </c>
      <c r="AF183" s="10" t="inlineStr">
        <is>
          <t>27</t>
        </is>
      </c>
      <c r="AG183" s="7" t="inlineStr">
        <is>
          <t>28</t>
        </is>
      </c>
      <c r="AH183" s="7" t="inlineStr">
        <is>
          <t>29</t>
        </is>
      </c>
      <c r="AI183" s="7" t="inlineStr">
        <is>
          <t>30</t>
        </is>
      </c>
      <c r="AJ183" s="7" t="inlineStr">
        <is>
          <t>31</t>
        </is>
      </c>
    </row>
    <row r="184">
      <c r="A184" s="1" t="inlineStr">
        <is>
          <t>67264-3</t>
        </is>
      </c>
      <c r="B184" s="1" t="inlineStr">
        <is>
          <t>TAKASE MA</t>
        </is>
      </c>
      <c r="C184" s="1" t="inlineStr"/>
      <c r="D184" s="1" t="inlineStr">
        <is>
          <t>NTW004</t>
        </is>
      </c>
      <c r="E184" s="1" t="n"/>
      <c r="F184" s="9" t="inlineStr">
        <is>
          <t>725
CAUG ISR</t>
        </is>
      </c>
      <c r="G184" s="9" t="inlineStr">
        <is>
          <t>---</t>
        </is>
      </c>
      <c r="H184" s="9" t="inlineStr">
        <is>
          <t>726
CAUG ISR</t>
        </is>
      </c>
      <c r="I184" s="9" t="inlineStr">
        <is>
          <t>*H</t>
        </is>
      </c>
      <c r="J184" s="9" t="inlineStr">
        <is>
          <t>M21
ISR
#1
07:00-11:00</t>
        </is>
      </c>
      <c r="K184" s="9" t="inlineStr">
        <is>
          <t>87
CFM ISR</t>
        </is>
      </c>
      <c r="L184" s="9" t="inlineStr">
        <is>
          <t>88
CFM ISR</t>
        </is>
      </c>
      <c r="M184" s="9" t="inlineStr">
        <is>
          <t>H</t>
        </is>
      </c>
      <c r="N184" s="9" t="inlineStr">
        <is>
          <t>H</t>
        </is>
      </c>
      <c r="O184" s="9" t="inlineStr">
        <is>
          <t>SUC1</t>
        </is>
      </c>
      <c r="P184" s="9" t="inlineStr">
        <is>
          <t>MIDNIT</t>
        </is>
      </c>
      <c r="Q184" s="9" t="inlineStr">
        <is>
          <t>77</t>
        </is>
      </c>
      <c r="R184" s="9" t="inlineStr">
        <is>
          <t>746</t>
        </is>
      </c>
      <c r="S184" s="9" t="inlineStr">
        <is>
          <t>H</t>
        </is>
      </c>
      <c r="T184" s="9" t="inlineStr">
        <is>
          <t>H</t>
        </is>
      </c>
      <c r="U184" s="9" t="inlineStr">
        <is>
          <t>M11
TRN
#2
09:00-11:00</t>
        </is>
      </c>
      <c r="V184" s="9" t="inlineStr">
        <is>
          <t>M12
TRN
#2
19:00-23:00</t>
        </is>
      </c>
      <c r="W184" s="9" t="inlineStr">
        <is>
          <t>BLK</t>
        </is>
      </c>
      <c r="X184" s="9" t="inlineStr">
        <is>
          <t>745
CFM ISR</t>
        </is>
      </c>
      <c r="Y184" s="9" t="inlineStr">
        <is>
          <t>---</t>
        </is>
      </c>
      <c r="Z184" s="9" t="inlineStr">
        <is>
          <t>78
CFM ISR</t>
        </is>
      </c>
      <c r="AA184" s="9" t="inlineStr">
        <is>
          <t>*H</t>
        </is>
      </c>
      <c r="AB184" s="9" t="inlineStr">
        <is>
          <t>H</t>
        </is>
      </c>
      <c r="AC184" s="9" t="inlineStr">
        <is>
          <t>81
ALC ISR
82
ALC ISR</t>
        </is>
      </c>
      <c r="AD184" s="9" t="inlineStr">
        <is>
          <t>HH</t>
        </is>
      </c>
      <c r="AE184" s="9" t="inlineStr">
        <is>
          <t>HH</t>
        </is>
      </c>
      <c r="AF184" s="9" t="inlineStr">
        <is>
          <t>M12
ISR
#1
15:00-19:00</t>
        </is>
      </c>
      <c r="AG184" s="9" t="inlineStr">
        <is>
          <t>H</t>
        </is>
      </c>
      <c r="AH184" s="9" t="inlineStr">
        <is>
          <t>GMT1</t>
        </is>
      </c>
      <c r="AI184" s="9" t="inlineStr">
        <is>
          <t>66</t>
        </is>
      </c>
      <c r="AJ184" s="9" t="inlineStr">
        <is>
          <t>---</t>
        </is>
      </c>
    </row>
    <row r="185">
      <c r="A185" s="1" t="inlineStr">
        <is>
          <t>67264-4</t>
        </is>
      </c>
      <c r="B185" s="1" t="inlineStr">
        <is>
          <t>TAKASE MA</t>
        </is>
      </c>
      <c r="C185" s="1" t="inlineStr"/>
      <c r="D185" s="1" t="inlineStr">
        <is>
          <t>NTW004</t>
        </is>
      </c>
      <c r="E185" s="1" t="n"/>
      <c r="F185" s="9">
        <f>HYPERLINK("#Schedule!F374", "NAKAITO (53882)")</f>
        <v/>
      </c>
      <c r="G185" s="9" t="inlineStr"/>
      <c r="H185" s="9">
        <f>HYPERLINK("#Schedule!F374", "NAKAITO (53882)")</f>
        <v/>
      </c>
      <c r="I185" s="9" t="inlineStr"/>
      <c r="J185" s="9">
        <f>HYPERLINK("#Schedule!F37", "T細川 SH (37746)")</f>
        <v/>
      </c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11">
        <f>HYPERLINK("#Schedule!F177", "I遠藤 TA (41384)")</f>
        <v/>
      </c>
      <c r="W185" s="9" t="inlineStr"/>
      <c r="X185" s="9" t="inlineStr"/>
      <c r="Y185" s="9" t="inlineStr"/>
      <c r="Z185" s="9" t="inlineStr"/>
      <c r="AA185" s="9" t="inlineStr"/>
      <c r="AB185" s="9" t="inlineStr"/>
      <c r="AC185" s="9">
        <f>HYPERLINK("#Schedule!F328", "MIYAKEWA (41335)")</f>
        <v/>
      </c>
      <c r="AD185" s="9" t="inlineStr"/>
      <c r="AE185" s="9" t="inlineStr"/>
      <c r="AF185" s="11">
        <f>HYPERLINK("#Schedule!F173", "I藤野 AK (42421)")</f>
        <v/>
      </c>
      <c r="AG185" s="9" t="inlineStr"/>
      <c r="AH185" s="9" t="inlineStr"/>
      <c r="AI185" s="9">
        <f>HYPERLINK("#Schedule!F106", "森 SH (48994)")</f>
        <v/>
      </c>
      <c r="AJ185" s="9" t="inlineStr"/>
    </row>
    <row r="186">
      <c r="A186" s="1" t="inlineStr">
        <is>
          <t>67264-5</t>
        </is>
      </c>
      <c r="B186" s="1" t="inlineStr">
        <is>
          <t>TAKASE MA</t>
        </is>
      </c>
      <c r="C186" s="1" t="inlineStr"/>
      <c r="D186" s="1" t="inlineStr">
        <is>
          <t>NTW004</t>
        </is>
      </c>
      <c r="E186" s="1" t="n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>
        <is>
          <t>I宮本 KA</t>
        </is>
      </c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inlineStr"/>
      <c r="AE186" s="9" t="inlineStr"/>
      <c r="AF186" s="9" t="inlineStr"/>
      <c r="AG186" s="9" t="inlineStr"/>
      <c r="AH186" s="9" t="inlineStr"/>
      <c r="AI186" s="9" t="inlineStr"/>
      <c r="AJ186" s="9" t="inlineStr"/>
    </row>
    <row r="187">
      <c r="A187" s="1" t="inlineStr">
        <is>
          <t>67667-1</t>
        </is>
      </c>
      <c r="B187" s="1" t="inlineStr">
        <is>
          <t xml:space="preserve">ISHIKAWA 川 </t>
        </is>
      </c>
      <c r="C187" s="1" t="inlineStr"/>
      <c r="D187" s="1" t="inlineStr">
        <is>
          <t>NTW004</t>
        </is>
      </c>
      <c r="E187" s="1" t="n"/>
      <c r="F187" s="4" t="inlineStr">
        <is>
          <t xml:space="preserve">石川 </t>
        </is>
      </c>
      <c r="G187" s="4" t="inlineStr">
        <is>
          <t>NA</t>
        </is>
      </c>
      <c r="H187" s="4" t="inlineStr">
        <is>
          <t>機種：</t>
        </is>
      </c>
      <c r="I187" s="4" t="inlineStr">
        <is>
          <t>787</t>
        </is>
      </c>
      <c r="J187" s="4" t="inlineStr">
        <is>
          <t>ランク：</t>
        </is>
      </c>
      <c r="K187" s="4" t="inlineStr">
        <is>
          <t>CAP</t>
        </is>
      </c>
      <c r="L187" s="4" t="inlineStr">
        <is>
          <t>期：</t>
        </is>
      </c>
      <c r="M187" s="4" t="inlineStr">
        <is>
          <t>職番：</t>
        </is>
      </c>
      <c r="N187" s="4" t="inlineStr">
        <is>
          <t>00067667</t>
        </is>
      </c>
      <c r="O187" s="4" t="inlineStr">
        <is>
          <t>所属：</t>
        </is>
      </c>
      <c r="P187" s="4" t="inlineStr">
        <is>
          <t>NTZNT</t>
        </is>
      </c>
      <c r="Q187" s="4" t="inlineStr">
        <is>
          <t>CAT資：</t>
        </is>
      </c>
      <c r="R187" s="4" t="inlineStr">
        <is>
          <t>CAT3</t>
        </is>
      </c>
      <c r="S187" s="4" t="inlineStr">
        <is>
          <t>T/O：</t>
        </is>
      </c>
      <c r="T187" s="4" t="inlineStr">
        <is>
          <t>3T250907</t>
        </is>
      </c>
      <c r="U187" s="4" t="inlineStr">
        <is>
          <t>L/D：</t>
        </is>
      </c>
      <c r="V187" s="4" t="inlineStr">
        <is>
          <t>3L250907</t>
        </is>
      </c>
      <c r="W187" s="4" t="inlineStr">
        <is>
          <t>PE：</t>
        </is>
      </c>
      <c r="X187" s="5" t="inlineStr">
        <is>
          <t>PE251230</t>
        </is>
      </c>
      <c r="Y187" s="4" t="inlineStr">
        <is>
          <t>誕生月：</t>
        </is>
      </c>
      <c r="Z187" s="4" t="inlineStr">
        <is>
          <t>10</t>
        </is>
      </c>
      <c r="AA187" s="6" t="inlineStr">
        <is>
          <t>電話：</t>
        </is>
      </c>
      <c r="AB187" s="6" t="inlineStr">
        <is>
          <t>0422-52-7088</t>
        </is>
      </c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>
        <is>
          <t>NTW004</t>
        </is>
      </c>
    </row>
    <row r="188">
      <c r="A188" s="1" t="inlineStr">
        <is>
          <t>67667-2</t>
        </is>
      </c>
      <c r="B188" s="1" t="inlineStr">
        <is>
          <t xml:space="preserve">ISHIKAWA 川 </t>
        </is>
      </c>
      <c r="C188" s="1" t="inlineStr"/>
      <c r="D188" s="1" t="inlineStr">
        <is>
          <t>NTW004</t>
        </is>
      </c>
      <c r="E188" s="1" t="n"/>
      <c r="F188" s="7" t="inlineStr">
        <is>
          <t>01</t>
        </is>
      </c>
      <c r="G188" s="7" t="inlineStr">
        <is>
          <t>02</t>
        </is>
      </c>
      <c r="H188" s="7" t="inlineStr">
        <is>
          <t>03</t>
        </is>
      </c>
      <c r="I188" s="7" t="inlineStr">
        <is>
          <t>04</t>
        </is>
      </c>
      <c r="J188" s="8" t="inlineStr">
        <is>
          <t>05</t>
        </is>
      </c>
      <c r="K188" s="7" t="inlineStr">
        <is>
          <t>06</t>
        </is>
      </c>
      <c r="L188" s="8" t="inlineStr">
        <is>
          <t>07</t>
        </is>
      </c>
      <c r="M188" s="8" t="inlineStr">
        <is>
          <t>08</t>
        </is>
      </c>
      <c r="N188" s="7" t="inlineStr">
        <is>
          <t>09</t>
        </is>
      </c>
      <c r="O188" s="7" t="inlineStr">
        <is>
          <t>10</t>
        </is>
      </c>
      <c r="P188" s="7" t="inlineStr">
        <is>
          <t>11</t>
        </is>
      </c>
      <c r="Q188" s="7" t="inlineStr">
        <is>
          <t>12</t>
        </is>
      </c>
      <c r="R188" s="7" t="inlineStr">
        <is>
          <t>13</t>
        </is>
      </c>
      <c r="S188" s="7" t="inlineStr">
        <is>
          <t>14</t>
        </is>
      </c>
      <c r="T188" s="7" t="inlineStr">
        <is>
          <t>15</t>
        </is>
      </c>
      <c r="U188" s="7" t="inlineStr">
        <is>
          <t>16</t>
        </is>
      </c>
      <c r="V188" s="7" t="inlineStr">
        <is>
          <t>17</t>
        </is>
      </c>
      <c r="W188" s="7" t="inlineStr">
        <is>
          <t>18</t>
        </is>
      </c>
      <c r="X188" s="8" t="inlineStr">
        <is>
          <t>19</t>
        </is>
      </c>
      <c r="Y188" s="7" t="inlineStr">
        <is>
          <t>20</t>
        </is>
      </c>
      <c r="Z188" s="8" t="inlineStr">
        <is>
          <t>21</t>
        </is>
      </c>
      <c r="AA188" s="7" t="inlineStr">
        <is>
          <t>22</t>
        </is>
      </c>
      <c r="AB188" s="7" t="inlineStr">
        <is>
          <t>23</t>
        </is>
      </c>
      <c r="AC188" s="7" t="inlineStr">
        <is>
          <t>24</t>
        </is>
      </c>
      <c r="AD188" s="7" t="inlineStr">
        <is>
          <t>25</t>
        </is>
      </c>
      <c r="AE188" s="7" t="inlineStr">
        <is>
          <t>26</t>
        </is>
      </c>
      <c r="AF188" s="7" t="inlineStr">
        <is>
          <t>27</t>
        </is>
      </c>
      <c r="AG188" s="7" t="inlineStr">
        <is>
          <t>28</t>
        </is>
      </c>
      <c r="AH188" s="7" t="inlineStr">
        <is>
          <t>29</t>
        </is>
      </c>
      <c r="AI188" s="7" t="inlineStr">
        <is>
          <t>30</t>
        </is>
      </c>
      <c r="AJ188" s="7" t="inlineStr">
        <is>
          <t>31</t>
        </is>
      </c>
    </row>
    <row r="189">
      <c r="A189" s="1" t="inlineStr">
        <is>
          <t>67667-3</t>
        </is>
      </c>
      <c r="B189" s="1" t="inlineStr">
        <is>
          <t xml:space="preserve">ISHIKAWA 川 </t>
        </is>
      </c>
      <c r="C189" s="1" t="inlineStr"/>
      <c r="D189" s="1" t="inlineStr">
        <is>
          <t>NTW004</t>
        </is>
      </c>
      <c r="E189" s="1" t="n"/>
      <c r="F189" s="9" t="inlineStr">
        <is>
          <t>SX</t>
        </is>
      </c>
      <c r="G189" s="9" t="inlineStr">
        <is>
          <t>RF</t>
        </is>
      </c>
      <c r="H189" s="9" t="inlineStr">
        <is>
          <t>*H</t>
        </is>
      </c>
      <c r="I189" s="9" t="inlineStr">
        <is>
          <t>*H</t>
        </is>
      </c>
      <c r="J189" s="9" t="inlineStr">
        <is>
          <t>91
FOLQ ISR
92
FOLQ ISR</t>
        </is>
      </c>
      <c r="K189" s="9" t="inlineStr">
        <is>
          <t>H</t>
        </is>
      </c>
      <c r="L189" s="9" t="inlineStr">
        <is>
          <t>735
CAUG ISR</t>
        </is>
      </c>
      <c r="M189" s="9" t="inlineStr">
        <is>
          <t>26
CAUG ISR</t>
        </is>
      </c>
      <c r="N189" s="9" t="inlineStr">
        <is>
          <t>H</t>
        </is>
      </c>
      <c r="O189" s="9" t="inlineStr">
        <is>
          <t>66</t>
        </is>
      </c>
      <c r="P189" s="9" t="inlineStr">
        <is>
          <t>---</t>
        </is>
      </c>
      <c r="Q189" s="9" t="inlineStr">
        <is>
          <t>---</t>
        </is>
      </c>
      <c r="R189" s="9" t="inlineStr">
        <is>
          <t>65</t>
        </is>
      </c>
      <c r="S189" s="9" t="inlineStr">
        <is>
          <t>HH</t>
        </is>
      </c>
      <c r="T189" s="9" t="inlineStr">
        <is>
          <t>HH</t>
        </is>
      </c>
      <c r="U189" s="9" t="inlineStr">
        <is>
          <t>SX</t>
        </is>
      </c>
      <c r="V189" s="9" t="inlineStr">
        <is>
          <t>735</t>
        </is>
      </c>
      <c r="W189" s="9" t="inlineStr">
        <is>
          <t>26</t>
        </is>
      </c>
      <c r="X189" s="9" t="inlineStr">
        <is>
          <t>33
CMD ISR</t>
        </is>
      </c>
      <c r="Y189" s="9" t="inlineStr">
        <is>
          <t>---</t>
        </is>
      </c>
      <c r="Z189" s="9" t="inlineStr">
        <is>
          <t>32
CMD ISR</t>
        </is>
      </c>
      <c r="AA189" s="9" t="inlineStr">
        <is>
          <t>*H</t>
        </is>
      </c>
      <c r="AB189" s="9" t="inlineStr">
        <is>
          <t>H</t>
        </is>
      </c>
      <c r="AC189" s="9" t="inlineStr">
        <is>
          <t>R</t>
        </is>
      </c>
      <c r="AD189" s="9" t="inlineStr">
        <is>
          <t>H</t>
        </is>
      </c>
      <c r="AE189" s="9" t="inlineStr">
        <is>
          <t>R_</t>
        </is>
      </c>
      <c r="AF189" s="9" t="inlineStr">
        <is>
          <t>R_</t>
        </is>
      </c>
      <c r="AG189" s="9" t="inlineStr">
        <is>
          <t>H</t>
        </is>
      </c>
      <c r="AH189" s="9" t="inlineStr">
        <is>
          <t>GMT1</t>
        </is>
      </c>
      <c r="AI189" s="9" t="inlineStr">
        <is>
          <t>407</t>
        </is>
      </c>
      <c r="AJ189" s="9" t="inlineStr">
        <is>
          <t>---</t>
        </is>
      </c>
    </row>
    <row r="190">
      <c r="A190" s="1" t="inlineStr">
        <is>
          <t>67667-4</t>
        </is>
      </c>
      <c r="B190" s="1" t="inlineStr">
        <is>
          <t xml:space="preserve">ISHIKAWA 川 </t>
        </is>
      </c>
      <c r="C190" s="1" t="inlineStr"/>
      <c r="D190" s="1" t="inlineStr">
        <is>
          <t>NTW004</t>
        </is>
      </c>
      <c r="E190" s="1" t="n"/>
      <c r="F190" s="9" t="inlineStr"/>
      <c r="G190" s="9" t="inlineStr"/>
      <c r="H190" s="9" t="inlineStr"/>
      <c r="I190" s="9" t="inlineStr"/>
      <c r="J190" s="9">
        <f>HYPERLINK("#Schedule!F346", "KOIZUMIKE (53825)")</f>
        <v/>
      </c>
      <c r="K190" s="9" t="inlineStr"/>
      <c r="L190" s="9">
        <f>HYPERLINK("#Schedule!F320", "OTAKA (38601)")</f>
        <v/>
      </c>
      <c r="M190" s="9">
        <f>HYPERLINK("#Schedule!F320", "OTAKA (38601)")</f>
        <v/>
      </c>
      <c r="N190" s="9" t="inlineStr"/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>
        <is>
          <t>IWASAKIKA</t>
        </is>
      </c>
      <c r="Y190" s="9" t="inlineStr"/>
      <c r="Z190" s="9" t="inlineStr">
        <is>
          <t>IWASAKIKA</t>
        </is>
      </c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>
        <is>
          <t>TAKAMIKE</t>
        </is>
      </c>
      <c r="AJ190" s="9" t="inlineStr"/>
    </row>
    <row r="191">
      <c r="A191" s="1" t="inlineStr">
        <is>
          <t>67770-1</t>
        </is>
      </c>
      <c r="B191" s="1" t="inlineStr">
        <is>
          <t>KANEMITSU AK</t>
        </is>
      </c>
      <c r="C191" s="1" t="inlineStr"/>
      <c r="D191" s="1" t="inlineStr">
        <is>
          <t>NTW004</t>
        </is>
      </c>
      <c r="E191" s="1" t="n"/>
      <c r="F191" s="4" t="inlineStr">
        <is>
          <t>金光 AK</t>
        </is>
      </c>
      <c r="G191" s="4" t="inlineStr">
        <is>
          <t>AK</t>
        </is>
      </c>
      <c r="H191" s="4" t="inlineStr">
        <is>
          <t>機種：</t>
        </is>
      </c>
      <c r="I191" s="4" t="inlineStr">
        <is>
          <t>787</t>
        </is>
      </c>
      <c r="J191" s="4" t="inlineStr">
        <is>
          <t>ランク：</t>
        </is>
      </c>
      <c r="K191" s="4" t="inlineStr">
        <is>
          <t>CAP</t>
        </is>
      </c>
      <c r="L191" s="4" t="inlineStr">
        <is>
          <t>期：</t>
        </is>
      </c>
      <c r="M191" s="4" t="inlineStr">
        <is>
          <t>職番：</t>
        </is>
      </c>
      <c r="N191" s="4" t="inlineStr">
        <is>
          <t>00067770</t>
        </is>
      </c>
      <c r="O191" s="4" t="inlineStr">
        <is>
          <t>所属：</t>
        </is>
      </c>
      <c r="P191" s="4" t="inlineStr">
        <is>
          <t>NTZNT</t>
        </is>
      </c>
      <c r="Q191" s="4" t="inlineStr">
        <is>
          <t>CAT資：</t>
        </is>
      </c>
      <c r="R191" s="4" t="inlineStr">
        <is>
          <t>CAT3</t>
        </is>
      </c>
      <c r="S191" s="4" t="inlineStr">
        <is>
          <t>T/O：</t>
        </is>
      </c>
      <c r="T191" s="4" t="inlineStr">
        <is>
          <t>3T250912</t>
        </is>
      </c>
      <c r="U191" s="4" t="inlineStr">
        <is>
          <t>L/D：</t>
        </is>
      </c>
      <c r="V191" s="4" t="inlineStr">
        <is>
          <t>3L250905</t>
        </is>
      </c>
      <c r="W191" s="4" t="inlineStr">
        <is>
          <t>PE：</t>
        </is>
      </c>
      <c r="X191" s="5" t="inlineStr">
        <is>
          <t>PE250906</t>
        </is>
      </c>
      <c r="Y191" s="4" t="inlineStr">
        <is>
          <t>誕生月：</t>
        </is>
      </c>
      <c r="Z191" s="4" t="inlineStr">
        <is>
          <t>12</t>
        </is>
      </c>
      <c r="AA191" s="6" t="inlineStr">
        <is>
          <t>電話：</t>
        </is>
      </c>
      <c r="AB191" s="6" t="inlineStr">
        <is>
          <t>090-6955-3484</t>
        </is>
      </c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>
        <is>
          <t>NTW004</t>
        </is>
      </c>
    </row>
    <row r="192">
      <c r="A192" s="1" t="inlineStr">
        <is>
          <t>67770-2</t>
        </is>
      </c>
      <c r="B192" s="1" t="inlineStr">
        <is>
          <t>KANEMITSU AK</t>
        </is>
      </c>
      <c r="C192" s="1" t="inlineStr"/>
      <c r="D192" s="1" t="inlineStr">
        <is>
          <t>NTW004</t>
        </is>
      </c>
      <c r="E192" s="1" t="n"/>
      <c r="F192" s="7" t="inlineStr">
        <is>
          <t>01</t>
        </is>
      </c>
      <c r="G192" s="7" t="inlineStr">
        <is>
          <t>02</t>
        </is>
      </c>
      <c r="H192" s="7" t="inlineStr">
        <is>
          <t>03</t>
        </is>
      </c>
      <c r="I192" s="7" t="inlineStr">
        <is>
          <t>04</t>
        </is>
      </c>
      <c r="J192" s="10" t="inlineStr">
        <is>
          <t>05</t>
        </is>
      </c>
      <c r="K192" s="7" t="inlineStr">
        <is>
          <t>06</t>
        </is>
      </c>
      <c r="L192" s="7" t="inlineStr">
        <is>
          <t>07</t>
        </is>
      </c>
      <c r="M192" s="7" t="inlineStr">
        <is>
          <t>08</t>
        </is>
      </c>
      <c r="N192" s="7" t="inlineStr">
        <is>
          <t>09</t>
        </is>
      </c>
      <c r="O192" s="7" t="inlineStr">
        <is>
          <t>10</t>
        </is>
      </c>
      <c r="P192" s="7" t="inlineStr">
        <is>
          <t>11</t>
        </is>
      </c>
      <c r="Q192" s="7" t="inlineStr">
        <is>
          <t>12</t>
        </is>
      </c>
      <c r="R192" s="8" t="inlineStr">
        <is>
          <t>13</t>
        </is>
      </c>
      <c r="S192" s="8" t="inlineStr">
        <is>
          <t>14</t>
        </is>
      </c>
      <c r="T192" s="7" t="inlineStr">
        <is>
          <t>15</t>
        </is>
      </c>
      <c r="U192" s="7" t="inlineStr">
        <is>
          <t>16</t>
        </is>
      </c>
      <c r="V192" s="8" t="inlineStr">
        <is>
          <t>17</t>
        </is>
      </c>
      <c r="W192" s="8" t="inlineStr">
        <is>
          <t>18</t>
        </is>
      </c>
      <c r="X192" s="7" t="inlineStr">
        <is>
          <t>19</t>
        </is>
      </c>
      <c r="Y192" s="7" t="inlineStr">
        <is>
          <t>20</t>
        </is>
      </c>
      <c r="Z192" s="7" t="inlineStr">
        <is>
          <t>21</t>
        </is>
      </c>
      <c r="AA192" s="7" t="inlineStr">
        <is>
          <t>22</t>
        </is>
      </c>
      <c r="AB192" s="7" t="inlineStr">
        <is>
          <t>23</t>
        </is>
      </c>
      <c r="AC192" s="7" t="inlineStr">
        <is>
          <t>24</t>
        </is>
      </c>
      <c r="AD192" s="7" t="inlineStr">
        <is>
          <t>25</t>
        </is>
      </c>
      <c r="AE192" s="7" t="inlineStr">
        <is>
          <t>26</t>
        </is>
      </c>
      <c r="AF192" s="8" t="inlineStr">
        <is>
          <t>27</t>
        </is>
      </c>
      <c r="AG192" s="10" t="inlineStr">
        <is>
          <t>28</t>
        </is>
      </c>
      <c r="AH192" s="7" t="inlineStr">
        <is>
          <t>29</t>
        </is>
      </c>
      <c r="AI192" s="7" t="inlineStr">
        <is>
          <t>30</t>
        </is>
      </c>
      <c r="AJ192" s="7" t="inlineStr">
        <is>
          <t>31</t>
        </is>
      </c>
    </row>
    <row r="193">
      <c r="A193" s="1" t="inlineStr">
        <is>
          <t>67770-3</t>
        </is>
      </c>
      <c r="B193" s="1" t="inlineStr">
        <is>
          <t>KANEMITSU AK</t>
        </is>
      </c>
      <c r="C193" s="1" t="inlineStr"/>
      <c r="D193" s="1" t="inlineStr">
        <is>
          <t>NTW004</t>
        </is>
      </c>
      <c r="E193" s="1" t="n"/>
      <c r="F193" s="9" t="inlineStr">
        <is>
          <t>SIK</t>
        </is>
      </c>
      <c r="G193" s="9" t="inlineStr">
        <is>
          <t>SIK</t>
        </is>
      </c>
      <c r="H193" s="9" t="inlineStr">
        <is>
          <t>VACN</t>
        </is>
      </c>
      <c r="I193" s="9" t="inlineStr">
        <is>
          <t>H</t>
        </is>
      </c>
      <c r="J193" s="9" t="inlineStr">
        <is>
          <t>M21
ISR
#2
05:00-09:00</t>
        </is>
      </c>
      <c r="K193" s="9" t="inlineStr">
        <is>
          <t>SX</t>
        </is>
      </c>
      <c r="L193" s="9" t="inlineStr">
        <is>
          <t>H</t>
        </is>
      </c>
      <c r="M193" s="9" t="inlineStr">
        <is>
          <t>H</t>
        </is>
      </c>
      <c r="N193" s="9" t="inlineStr">
        <is>
          <t>MIDNIT</t>
        </is>
      </c>
      <c r="O193" s="9" t="inlineStr">
        <is>
          <t>77</t>
        </is>
      </c>
      <c r="P193" s="9" t="inlineStr">
        <is>
          <t>746</t>
        </is>
      </c>
      <c r="Q193" s="9" t="inlineStr">
        <is>
          <t>H</t>
        </is>
      </c>
      <c r="R193" s="9" t="inlineStr">
        <is>
          <t>735
ALC ISR</t>
        </is>
      </c>
      <c r="S193" s="9" t="inlineStr">
        <is>
          <t>26
ALC ISR</t>
        </is>
      </c>
      <c r="T193" s="9" t="inlineStr">
        <is>
          <t>H</t>
        </is>
      </c>
      <c r="U193" s="9" t="inlineStr">
        <is>
          <t>VACN</t>
        </is>
      </c>
      <c r="V193" s="9" t="inlineStr">
        <is>
          <t>119
CMD ISR
124
CMD ISR
139
CMD ISR</t>
        </is>
      </c>
      <c r="W193" s="9" t="inlineStr">
        <is>
          <t>116
CMD ISR
125
CMD ISR
128
CMD ISR</t>
        </is>
      </c>
      <c r="X193" s="9" t="inlineStr">
        <is>
          <t>H/VAC</t>
        </is>
      </c>
      <c r="Y193" s="9" t="inlineStr">
        <is>
          <t>H/VAC</t>
        </is>
      </c>
      <c r="Z193" s="9" t="inlineStr">
        <is>
          <t>HH</t>
        </is>
      </c>
      <c r="AA193" s="9" t="inlineStr">
        <is>
          <t>R</t>
        </is>
      </c>
      <c r="AB193" s="9" t="inlineStr">
        <is>
          <t>R</t>
        </is>
      </c>
      <c r="AC193" s="9" t="inlineStr">
        <is>
          <t>R</t>
        </is>
      </c>
      <c r="AD193" s="9" t="inlineStr">
        <is>
          <t>R</t>
        </is>
      </c>
      <c r="AE193" s="9" t="inlineStr">
        <is>
          <t>HH</t>
        </is>
      </c>
      <c r="AF193" s="9" t="inlineStr">
        <is>
          <t>91
CAUG ISR
92
CAUG ISR</t>
        </is>
      </c>
      <c r="AG193" s="9" t="inlineStr">
        <is>
          <t>M21
ISR
#2
07:00-11:00</t>
        </is>
      </c>
      <c r="AH193" s="9" t="inlineStr">
        <is>
          <t>GMT1</t>
        </is>
      </c>
      <c r="AI193" s="9" t="inlineStr">
        <is>
          <t>H</t>
        </is>
      </c>
      <c r="AJ193" s="9" t="inlineStr">
        <is>
          <t>PE
PEF TRN
PE
PEF TRN</t>
        </is>
      </c>
    </row>
    <row r="194">
      <c r="A194" s="1" t="inlineStr">
        <is>
          <t>67770-4</t>
        </is>
      </c>
      <c r="B194" s="1" t="inlineStr">
        <is>
          <t>KANEMITSU AK</t>
        </is>
      </c>
      <c r="C194" s="1" t="inlineStr"/>
      <c r="D194" s="1" t="inlineStr">
        <is>
          <t>NTW004</t>
        </is>
      </c>
      <c r="E194" s="1" t="n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>
        <f>HYPERLINK("#Schedule!F328", "MIYAKEWA (41335)")</f>
        <v/>
      </c>
      <c r="S194" s="9">
        <f>HYPERLINK("#Schedule!F328", "MIYAKEWA (41335)")</f>
        <v/>
      </c>
      <c r="T194" s="9" t="inlineStr"/>
      <c r="U194" s="9" t="inlineStr"/>
      <c r="V194" s="9">
        <f>HYPERLINK("#Schedule!F425", "KIMURAYU (53824)")</f>
        <v/>
      </c>
      <c r="W194" s="9">
        <f>HYPERLINK("#Schedule!F425", "KIMURAYU (53824)")</f>
        <v/>
      </c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>
        <is>
          <t>TOYAMASH</t>
        </is>
      </c>
      <c r="AG194" s="9" t="inlineStr"/>
      <c r="AH194" s="9" t="inlineStr"/>
      <c r="AI194" s="9" t="inlineStr"/>
      <c r="AJ194" s="9" t="inlineStr"/>
    </row>
    <row r="195">
      <c r="A195" s="1" t="inlineStr">
        <is>
          <t>38531-1</t>
        </is>
      </c>
      <c r="B195" s="1" t="inlineStr">
        <is>
          <t>TAKADA JO</t>
        </is>
      </c>
      <c r="C195" s="1" t="inlineStr"/>
      <c r="D195" s="1" t="inlineStr">
        <is>
          <t>NTW004</t>
        </is>
      </c>
      <c r="E195" s="1" t="n"/>
      <c r="F195" s="4" t="inlineStr">
        <is>
          <t>髙田 JO</t>
        </is>
      </c>
      <c r="G195" s="4" t="inlineStr">
        <is>
          <t>JO</t>
        </is>
      </c>
      <c r="H195" s="4" t="inlineStr">
        <is>
          <t>機種：</t>
        </is>
      </c>
      <c r="I195" s="4" t="inlineStr">
        <is>
          <t>787</t>
        </is>
      </c>
      <c r="J195" s="4" t="inlineStr">
        <is>
          <t>ランク：</t>
        </is>
      </c>
      <c r="K195" s="4" t="inlineStr">
        <is>
          <t>CAP</t>
        </is>
      </c>
      <c r="L195" s="4" t="inlineStr">
        <is>
          <t>期：</t>
        </is>
      </c>
      <c r="M195" s="4" t="inlineStr">
        <is>
          <t>職番：</t>
        </is>
      </c>
      <c r="N195" s="4" t="inlineStr">
        <is>
          <t>00038531</t>
        </is>
      </c>
      <c r="O195" s="4" t="inlineStr">
        <is>
          <t>所属：</t>
        </is>
      </c>
      <c r="P195" s="4" t="inlineStr">
        <is>
          <t>NTZNT</t>
        </is>
      </c>
      <c r="Q195" s="4" t="inlineStr">
        <is>
          <t>CAT資：</t>
        </is>
      </c>
      <c r="R195" s="4" t="inlineStr">
        <is>
          <t>CAT3</t>
        </is>
      </c>
      <c r="S195" s="4" t="inlineStr">
        <is>
          <t>T/O：</t>
        </is>
      </c>
      <c r="T195" s="4" t="inlineStr">
        <is>
          <t>3T250911</t>
        </is>
      </c>
      <c r="U195" s="4" t="inlineStr">
        <is>
          <t>L/D：</t>
        </is>
      </c>
      <c r="V195" s="4" t="inlineStr">
        <is>
          <t>3L250903</t>
        </is>
      </c>
      <c r="W195" s="4" t="inlineStr">
        <is>
          <t>PE：</t>
        </is>
      </c>
      <c r="X195" s="5" t="inlineStr">
        <is>
          <t>PE260615</t>
        </is>
      </c>
      <c r="Y195" s="4" t="inlineStr">
        <is>
          <t>誕生月：</t>
        </is>
      </c>
      <c r="Z195" s="4" t="inlineStr">
        <is>
          <t>08</t>
        </is>
      </c>
      <c r="AA195" s="6" t="inlineStr">
        <is>
          <t>電話：</t>
        </is>
      </c>
      <c r="AB195" s="6" t="inlineStr">
        <is>
          <t>090-6795-3196</t>
        </is>
      </c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>
        <is>
          <t>NTW004</t>
        </is>
      </c>
    </row>
    <row r="196">
      <c r="A196" s="1" t="inlineStr">
        <is>
          <t>38531-2</t>
        </is>
      </c>
      <c r="B196" s="1" t="inlineStr">
        <is>
          <t>TAKADA JO</t>
        </is>
      </c>
      <c r="C196" s="1" t="inlineStr"/>
      <c r="D196" s="1" t="inlineStr">
        <is>
          <t>NTW004</t>
        </is>
      </c>
      <c r="E196" s="1" t="n"/>
      <c r="F196" s="7" t="inlineStr">
        <is>
          <t>01</t>
        </is>
      </c>
      <c r="G196" s="7" t="inlineStr">
        <is>
          <t>02</t>
        </is>
      </c>
      <c r="H196" s="7" t="inlineStr">
        <is>
          <t>03</t>
        </is>
      </c>
      <c r="I196" s="10" t="inlineStr">
        <is>
          <t>04</t>
        </is>
      </c>
      <c r="J196" s="7" t="inlineStr">
        <is>
          <t>05</t>
        </is>
      </c>
      <c r="K196" s="8" t="inlineStr">
        <is>
          <t>06</t>
        </is>
      </c>
      <c r="L196" s="7" t="inlineStr">
        <is>
          <t>07</t>
        </is>
      </c>
      <c r="M196" s="8" t="inlineStr">
        <is>
          <t>08</t>
        </is>
      </c>
      <c r="N196" s="7" t="inlineStr">
        <is>
          <t>09</t>
        </is>
      </c>
      <c r="O196" s="8" t="inlineStr">
        <is>
          <t>10</t>
        </is>
      </c>
      <c r="P196" s="7" t="inlineStr">
        <is>
          <t>11</t>
        </is>
      </c>
      <c r="Q196" s="7" t="inlineStr">
        <is>
          <t>12</t>
        </is>
      </c>
      <c r="R196" s="7" t="inlineStr">
        <is>
          <t>13</t>
        </is>
      </c>
      <c r="S196" s="7" t="inlineStr">
        <is>
          <t>14</t>
        </is>
      </c>
      <c r="T196" s="7" t="inlineStr">
        <is>
          <t>15</t>
        </is>
      </c>
      <c r="U196" s="7" t="inlineStr">
        <is>
          <t>16</t>
        </is>
      </c>
      <c r="V196" s="7" t="inlineStr">
        <is>
          <t>17</t>
        </is>
      </c>
      <c r="W196" s="7" t="inlineStr">
        <is>
          <t>18</t>
        </is>
      </c>
      <c r="X196" s="7" t="inlineStr">
        <is>
          <t>19</t>
        </is>
      </c>
      <c r="Y196" s="7" t="inlineStr">
        <is>
          <t>20</t>
        </is>
      </c>
      <c r="Z196" s="7" t="inlineStr">
        <is>
          <t>21</t>
        </is>
      </c>
      <c r="AA196" s="8" t="inlineStr">
        <is>
          <t>22</t>
        </is>
      </c>
      <c r="AB196" s="7" t="inlineStr">
        <is>
          <t>23</t>
        </is>
      </c>
      <c r="AC196" s="13" t="inlineStr">
        <is>
          <t>24</t>
        </is>
      </c>
      <c r="AD196" s="7" t="inlineStr">
        <is>
          <t>25</t>
        </is>
      </c>
      <c r="AE196" s="7" t="inlineStr">
        <is>
          <t>26</t>
        </is>
      </c>
      <c r="AF196" s="7" t="inlineStr">
        <is>
          <t>27</t>
        </is>
      </c>
      <c r="AG196" s="7" t="inlineStr">
        <is>
          <t>28</t>
        </is>
      </c>
      <c r="AH196" s="7" t="inlineStr">
        <is>
          <t>29</t>
        </is>
      </c>
      <c r="AI196" s="7" t="inlineStr">
        <is>
          <t>30</t>
        </is>
      </c>
      <c r="AJ196" s="7" t="inlineStr">
        <is>
          <t>31</t>
        </is>
      </c>
    </row>
    <row r="197">
      <c r="A197" s="1" t="inlineStr">
        <is>
          <t>38531-3</t>
        </is>
      </c>
      <c r="B197" s="1" t="inlineStr">
        <is>
          <t>TAKADA JO</t>
        </is>
      </c>
      <c r="C197" s="1" t="inlineStr"/>
      <c r="D197" s="1" t="inlineStr">
        <is>
          <t>NTW004</t>
        </is>
      </c>
      <c r="E197" s="1" t="n"/>
      <c r="F197" s="9" t="inlineStr">
        <is>
          <t>728
224DH</t>
        </is>
      </c>
      <c r="G197" s="9" t="inlineStr">
        <is>
          <t>*H</t>
        </is>
      </c>
      <c r="H197" s="9" t="inlineStr">
        <is>
          <t>H</t>
        </is>
      </c>
      <c r="I197" s="9" t="inlineStr">
        <is>
          <t>M21
ISR
#1
05:00-09:00</t>
        </is>
      </c>
      <c r="J197" s="9" t="inlineStr">
        <is>
          <t>SX</t>
        </is>
      </c>
      <c r="K197" s="9" t="inlineStr">
        <is>
          <t>97
CAUG ISR
98
CAUG ISR</t>
        </is>
      </c>
      <c r="L197" s="9" t="inlineStr">
        <is>
          <t>H</t>
        </is>
      </c>
      <c r="M197" s="9" t="inlineStr">
        <is>
          <t>74
CMD ISR</t>
        </is>
      </c>
      <c r="N197" s="9" t="inlineStr">
        <is>
          <t>---</t>
        </is>
      </c>
      <c r="O197" s="9" t="inlineStr">
        <is>
          <t>73
CMD ISR</t>
        </is>
      </c>
      <c r="P197" s="9" t="inlineStr">
        <is>
          <t>*H</t>
        </is>
      </c>
      <c r="Q197" s="9" t="inlineStr">
        <is>
          <t>*H</t>
        </is>
      </c>
      <c r="R197" s="9" t="inlineStr">
        <is>
          <t>S18</t>
        </is>
      </c>
      <c r="S197" s="9" t="inlineStr">
        <is>
          <t>41</t>
        </is>
      </c>
      <c r="T197" s="9" t="inlineStr">
        <is>
          <t>---</t>
        </is>
      </c>
      <c r="U197" s="9" t="inlineStr">
        <is>
          <t>---</t>
        </is>
      </c>
      <c r="V197" s="9" t="inlineStr">
        <is>
          <t>---</t>
        </is>
      </c>
      <c r="W197" s="9" t="inlineStr">
        <is>
          <t>42</t>
        </is>
      </c>
      <c r="X197" s="9" t="inlineStr">
        <is>
          <t>H/VAC</t>
        </is>
      </c>
      <c r="Y197" s="9" t="inlineStr">
        <is>
          <t>HH</t>
        </is>
      </c>
      <c r="Z197" s="9" t="inlineStr">
        <is>
          <t>HH</t>
        </is>
      </c>
      <c r="AA197" s="9" t="inlineStr">
        <is>
          <t>93
CMD ISR
94
CMD ISR</t>
        </is>
      </c>
      <c r="AB197" s="9" t="inlineStr">
        <is>
          <t>H</t>
        </is>
      </c>
      <c r="AC197" s="9" t="inlineStr">
        <is>
          <t>RCBT
CBT1 TRN
GS
GS-C TRN
DIT
DIT TRN</t>
        </is>
      </c>
      <c r="AD197" s="9" t="inlineStr">
        <is>
          <t>745</t>
        </is>
      </c>
      <c r="AE197" s="9" t="inlineStr">
        <is>
          <t>---</t>
        </is>
      </c>
      <c r="AF197" s="9" t="inlineStr">
        <is>
          <t>78</t>
        </is>
      </c>
      <c r="AG197" s="9" t="inlineStr">
        <is>
          <t>H</t>
        </is>
      </c>
      <c r="AH197" s="9" t="inlineStr">
        <is>
          <t>GMT1</t>
        </is>
      </c>
      <c r="AI197" s="9" t="inlineStr">
        <is>
          <t>8786</t>
        </is>
      </c>
      <c r="AJ197" s="9" t="inlineStr">
        <is>
          <t>---</t>
        </is>
      </c>
    </row>
    <row r="198">
      <c r="A198" s="1" t="inlineStr">
        <is>
          <t>38531-4</t>
        </is>
      </c>
      <c r="B198" s="1" t="inlineStr">
        <is>
          <t>TAKADA JO</t>
        </is>
      </c>
      <c r="C198" s="1" t="inlineStr"/>
      <c r="D198" s="1" t="inlineStr">
        <is>
          <t>NTW004</t>
        </is>
      </c>
      <c r="E198" s="1" t="n"/>
      <c r="F198" s="9" t="inlineStr"/>
      <c r="G198" s="9" t="inlineStr"/>
      <c r="H198" s="9" t="inlineStr"/>
      <c r="I198" s="9" t="inlineStr"/>
      <c r="J198" s="9" t="inlineStr"/>
      <c r="K198" s="9" t="inlineStr">
        <is>
          <t>TASAKASH</t>
        </is>
      </c>
      <c r="L198" s="9" t="inlineStr"/>
      <c r="M198" s="9" t="inlineStr">
        <is>
          <t>IWASAKIKA</t>
        </is>
      </c>
      <c r="N198" s="9" t="inlineStr"/>
      <c r="O198" s="9" t="inlineStr">
        <is>
          <t>IWASAKIKA</t>
        </is>
      </c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>
        <f>HYPERLINK("#Schedule!F370", "YAGIHASHIMS (53785)")</f>
        <v/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</row>
    <row r="199">
      <c r="A199" s="1" t="inlineStr">
        <is>
          <t>38554-1</t>
        </is>
      </c>
      <c r="B199" s="1" t="inlineStr">
        <is>
          <t>TAKENAKA NI</t>
        </is>
      </c>
      <c r="C199" s="1" t="inlineStr"/>
      <c r="D199" s="1" t="inlineStr">
        <is>
          <t>NTW004</t>
        </is>
      </c>
      <c r="E199" s="1" t="n"/>
      <c r="F199" s="4" t="inlineStr">
        <is>
          <t>竹中 NI</t>
        </is>
      </c>
      <c r="G199" s="4" t="inlineStr">
        <is>
          <t>NI</t>
        </is>
      </c>
      <c r="H199" s="4" t="inlineStr">
        <is>
          <t>機種：</t>
        </is>
      </c>
      <c r="I199" s="4" t="inlineStr">
        <is>
          <t>787</t>
        </is>
      </c>
      <c r="J199" s="4" t="inlineStr">
        <is>
          <t>ランク：</t>
        </is>
      </c>
      <c r="K199" s="4" t="inlineStr">
        <is>
          <t>CAP</t>
        </is>
      </c>
      <c r="L199" s="4" t="inlineStr">
        <is>
          <t>期：</t>
        </is>
      </c>
      <c r="M199" s="4" t="inlineStr">
        <is>
          <t>職番：</t>
        </is>
      </c>
      <c r="N199" s="4" t="inlineStr">
        <is>
          <t>00038554</t>
        </is>
      </c>
      <c r="O199" s="4" t="inlineStr">
        <is>
          <t>所属：</t>
        </is>
      </c>
      <c r="P199" s="4" t="inlineStr">
        <is>
          <t>NTZNT</t>
        </is>
      </c>
      <c r="Q199" s="4" t="inlineStr">
        <is>
          <t>CAT資：</t>
        </is>
      </c>
      <c r="R199" s="4" t="inlineStr">
        <is>
          <t>CAT3</t>
        </is>
      </c>
      <c r="S199" s="4" t="inlineStr">
        <is>
          <t>T/O：</t>
        </is>
      </c>
      <c r="T199" s="4" t="inlineStr">
        <is>
          <t>3T250830</t>
        </is>
      </c>
      <c r="U199" s="4" t="inlineStr">
        <is>
          <t>L/D：</t>
        </is>
      </c>
      <c r="V199" s="4" t="inlineStr">
        <is>
          <t>3L250811</t>
        </is>
      </c>
      <c r="W199" s="4" t="inlineStr">
        <is>
          <t>PE：</t>
        </is>
      </c>
      <c r="X199" s="5" t="inlineStr">
        <is>
          <t>PE260801</t>
        </is>
      </c>
      <c r="Y199" s="4" t="inlineStr">
        <is>
          <t>誕生月：</t>
        </is>
      </c>
      <c r="Z199" s="4" t="inlineStr">
        <is>
          <t>12</t>
        </is>
      </c>
      <c r="AA199" s="6" t="inlineStr">
        <is>
          <t>電話：</t>
        </is>
      </c>
      <c r="AB199" s="6" t="inlineStr">
        <is>
          <t>045-594-3612</t>
        </is>
      </c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>
        <is>
          <t>NTW004</t>
        </is>
      </c>
    </row>
    <row r="200">
      <c r="A200" s="1" t="inlineStr">
        <is>
          <t>38554-2</t>
        </is>
      </c>
      <c r="B200" s="1" t="inlineStr">
        <is>
          <t>TAKENAKA NI</t>
        </is>
      </c>
      <c r="C200" s="1" t="inlineStr"/>
      <c r="D200" s="1" t="inlineStr">
        <is>
          <t>NTW004</t>
        </is>
      </c>
      <c r="E200" s="1" t="n"/>
      <c r="F200" s="10" t="inlineStr">
        <is>
          <t>01</t>
        </is>
      </c>
      <c r="G200" s="7" t="inlineStr">
        <is>
          <t>02</t>
        </is>
      </c>
      <c r="H200" s="7" t="inlineStr">
        <is>
          <t>03</t>
        </is>
      </c>
      <c r="I200" s="8" t="inlineStr">
        <is>
          <t>04</t>
        </is>
      </c>
      <c r="J200" s="7" t="inlineStr">
        <is>
          <t>05</t>
        </is>
      </c>
      <c r="K200" s="8" t="inlineStr">
        <is>
          <t>06</t>
        </is>
      </c>
      <c r="L200" s="7" t="inlineStr">
        <is>
          <t>07</t>
        </is>
      </c>
      <c r="M200" s="7" t="inlineStr">
        <is>
          <t>08</t>
        </is>
      </c>
      <c r="N200" s="8" t="inlineStr">
        <is>
          <t>09</t>
        </is>
      </c>
      <c r="O200" s="13" t="inlineStr">
        <is>
          <t>10</t>
        </is>
      </c>
      <c r="P200" s="7" t="inlineStr">
        <is>
          <t>11</t>
        </is>
      </c>
      <c r="Q200" s="7" t="inlineStr">
        <is>
          <t>12</t>
        </is>
      </c>
      <c r="R200" s="8" t="inlineStr">
        <is>
          <t>13</t>
        </is>
      </c>
      <c r="S200" s="7" t="inlineStr">
        <is>
          <t>14</t>
        </is>
      </c>
      <c r="T200" s="10" t="inlineStr">
        <is>
          <t>15</t>
        </is>
      </c>
      <c r="U200" s="7" t="inlineStr">
        <is>
          <t>16</t>
        </is>
      </c>
      <c r="V200" s="7" t="inlineStr">
        <is>
          <t>17</t>
        </is>
      </c>
      <c r="W200" s="7" t="inlineStr">
        <is>
          <t>18</t>
        </is>
      </c>
      <c r="X200" s="8" t="inlineStr">
        <is>
          <t>19</t>
        </is>
      </c>
      <c r="Y200" s="7" t="inlineStr">
        <is>
          <t>20</t>
        </is>
      </c>
      <c r="Z200" s="7" t="inlineStr">
        <is>
          <t>21</t>
        </is>
      </c>
      <c r="AA200" s="7" t="inlineStr">
        <is>
          <t>22</t>
        </is>
      </c>
      <c r="AB200" s="7" t="inlineStr">
        <is>
          <t>23</t>
        </is>
      </c>
      <c r="AC200" s="7" t="inlineStr">
        <is>
          <t>24</t>
        </is>
      </c>
      <c r="AD200" s="7" t="inlineStr">
        <is>
          <t>25</t>
        </is>
      </c>
      <c r="AE200" s="7" t="inlineStr">
        <is>
          <t>26</t>
        </is>
      </c>
      <c r="AF200" s="7" t="inlineStr">
        <is>
          <t>27</t>
        </is>
      </c>
      <c r="AG200" s="12" t="inlineStr">
        <is>
          <t>28</t>
        </is>
      </c>
      <c r="AH200" s="7" t="inlineStr">
        <is>
          <t>29</t>
        </is>
      </c>
      <c r="AI200" s="10" t="inlineStr">
        <is>
          <t>30</t>
        </is>
      </c>
      <c r="AJ200" s="7" t="inlineStr">
        <is>
          <t>31</t>
        </is>
      </c>
    </row>
    <row r="201">
      <c r="A201" s="1" t="inlineStr">
        <is>
          <t>38554-3</t>
        </is>
      </c>
      <c r="B201" s="1" t="inlineStr">
        <is>
          <t>TAKENAKA NI</t>
        </is>
      </c>
      <c r="C201" s="1" t="inlineStr"/>
      <c r="D201" s="1" t="inlineStr">
        <is>
          <t>NTW004</t>
        </is>
      </c>
      <c r="E201" s="1" t="n"/>
      <c r="F201" s="9" t="inlineStr">
        <is>
          <t>M22
ISR
#2
19:00-23:00</t>
        </is>
      </c>
      <c r="G201" s="9" t="inlineStr">
        <is>
          <t>H</t>
        </is>
      </c>
      <c r="H201" s="9" t="inlineStr">
        <is>
          <t>H</t>
        </is>
      </c>
      <c r="I201" s="9" t="inlineStr">
        <is>
          <t>725
VLDE ISR</t>
        </is>
      </c>
      <c r="J201" s="9" t="inlineStr">
        <is>
          <t>---</t>
        </is>
      </c>
      <c r="K201" s="9" t="inlineStr">
        <is>
          <t>726
VLDE ISR</t>
        </is>
      </c>
      <c r="L201" s="9" t="inlineStr">
        <is>
          <t>H/VAC</t>
        </is>
      </c>
      <c r="M201" s="9" t="inlineStr">
        <is>
          <t>VAC</t>
        </is>
      </c>
      <c r="N201" s="9" t="inlineStr">
        <is>
          <t>91
VLDE ISR
92
VLDE ISR</t>
        </is>
      </c>
      <c r="O201" s="9" t="inlineStr">
        <is>
          <t>EDU
LPS TRN
EDU
LPS TRN</t>
        </is>
      </c>
      <c r="P201" s="9" t="inlineStr">
        <is>
          <t>ISR
ISR
#1
11:00-15:00</t>
        </is>
      </c>
      <c r="Q201" s="9" t="inlineStr">
        <is>
          <t>H</t>
        </is>
      </c>
      <c r="R201" s="9" t="inlineStr">
        <is>
          <t>23
CAUG ISR
24
CAUG ISR</t>
        </is>
      </c>
      <c r="S201" s="9" t="inlineStr">
        <is>
          <t>H</t>
        </is>
      </c>
      <c r="T201" s="9" t="inlineStr">
        <is>
          <t>M21
ISR
#2
05:00-09:00</t>
        </is>
      </c>
      <c r="U201" s="9" t="inlineStr">
        <is>
          <t>HH</t>
        </is>
      </c>
      <c r="V201" s="9" t="inlineStr">
        <is>
          <t>HH</t>
        </is>
      </c>
      <c r="W201" s="9" t="inlineStr">
        <is>
          <t>SX</t>
        </is>
      </c>
      <c r="X201" s="9" t="inlineStr">
        <is>
          <t>91
CMD ISR
92
CMD ISR</t>
        </is>
      </c>
      <c r="Y201" s="9" t="inlineStr">
        <is>
          <t>MTG1</t>
        </is>
      </c>
      <c r="Z201" s="9" t="inlineStr">
        <is>
          <t>MTG1</t>
        </is>
      </c>
      <c r="AA201" s="9" t="inlineStr">
        <is>
          <t>H</t>
        </is>
      </c>
      <c r="AB201" s="9" t="inlineStr">
        <is>
          <t>39</t>
        </is>
      </c>
      <c r="AC201" s="9" t="inlineStr">
        <is>
          <t>---</t>
        </is>
      </c>
      <c r="AD201" s="9" t="inlineStr">
        <is>
          <t>30</t>
        </is>
      </c>
      <c r="AE201" s="9" t="inlineStr">
        <is>
          <t>H</t>
        </is>
      </c>
      <c r="AF201" s="9" t="inlineStr">
        <is>
          <t>H</t>
        </is>
      </c>
      <c r="AG201" s="9" t="inlineStr">
        <is>
          <t>111
QPR_ TRN
114DH</t>
        </is>
      </c>
      <c r="AH201" s="9" t="inlineStr">
        <is>
          <t>GMT1</t>
        </is>
      </c>
      <c r="AI201" s="9" t="inlineStr">
        <is>
          <t>M22
ISR
#2
19:00-23:00</t>
        </is>
      </c>
      <c r="AJ201" s="9" t="inlineStr">
        <is>
          <t>VAC</t>
        </is>
      </c>
    </row>
    <row r="202">
      <c r="A202" s="1" t="inlineStr">
        <is>
          <t>38554-4</t>
        </is>
      </c>
      <c r="B202" s="1" t="inlineStr">
        <is>
          <t>TAKENAKA NI</t>
        </is>
      </c>
      <c r="C202" s="1" t="inlineStr"/>
      <c r="D202" s="1" t="inlineStr">
        <is>
          <t>NTW004</t>
        </is>
      </c>
      <c r="E202" s="1" t="n"/>
      <c r="F202" s="9" t="inlineStr"/>
      <c r="G202" s="9" t="inlineStr"/>
      <c r="H202" s="9" t="inlineStr"/>
      <c r="I202" s="9">
        <f>HYPERLINK("#Schedule!F350", "NAKAJIMATA (51865)")</f>
        <v/>
      </c>
      <c r="J202" s="9" t="inlineStr"/>
      <c r="K202" s="9">
        <f>HYPERLINK("#Schedule!F350", "NAKAJIMATA (51865)")</f>
        <v/>
      </c>
      <c r="L202" s="9" t="inlineStr"/>
      <c r="M202" s="9" t="inlineStr"/>
      <c r="N202" s="9">
        <f>HYPERLINK("#Schedule!F350", "NAKAJIMATA (51865)")</f>
        <v/>
      </c>
      <c r="O202" s="9" t="inlineStr"/>
      <c r="P202" s="9" t="inlineStr">
        <is>
          <t>T山本KC</t>
        </is>
      </c>
      <c r="Q202" s="9" t="inlineStr"/>
      <c r="R202" s="9">
        <f>HYPERLINK("#Schedule!F346", "KOIZUMIKE (53825)")</f>
        <v/>
      </c>
      <c r="S202" s="9" t="inlineStr"/>
      <c r="T202" s="9" t="inlineStr"/>
      <c r="U202" s="9" t="inlineStr"/>
      <c r="V202" s="9" t="inlineStr"/>
      <c r="W202" s="9" t="inlineStr"/>
      <c r="X202" s="9">
        <f>HYPERLINK("#Schedule!F379", "SAKAKIMA (50730)")</f>
        <v/>
      </c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</row>
    <row r="203">
      <c r="A203" s="1" t="inlineStr">
        <is>
          <t>38554-5</t>
        </is>
      </c>
      <c r="B203" s="1" t="inlineStr">
        <is>
          <t>TAKENAKA NI</t>
        </is>
      </c>
      <c r="C203" s="1" t="inlineStr"/>
      <c r="D203" s="1" t="inlineStr">
        <is>
          <t>NTW004</t>
        </is>
      </c>
      <c r="E203" s="1" t="n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>
        <is>
          <t>T渡部 YU</t>
        </is>
      </c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</row>
    <row r="204">
      <c r="A204" s="1" t="inlineStr">
        <is>
          <t>40567-1</t>
        </is>
      </c>
      <c r="B204" s="1" t="inlineStr">
        <is>
          <t xml:space="preserve">MATSUI 井 </t>
        </is>
      </c>
      <c r="C204" s="1" t="inlineStr"/>
      <c r="D204" s="1" t="inlineStr">
        <is>
          <t>NTW004</t>
        </is>
      </c>
      <c r="E204" s="1" t="n"/>
      <c r="F204" s="4" t="inlineStr">
        <is>
          <t xml:space="preserve">松井 </t>
        </is>
      </c>
      <c r="G204" s="4" t="inlineStr">
        <is>
          <t>NA</t>
        </is>
      </c>
      <c r="H204" s="4" t="inlineStr">
        <is>
          <t>機種：</t>
        </is>
      </c>
      <c r="I204" s="4" t="inlineStr">
        <is>
          <t>787</t>
        </is>
      </c>
      <c r="J204" s="4" t="inlineStr">
        <is>
          <t>ランク：</t>
        </is>
      </c>
      <c r="K204" s="4" t="inlineStr">
        <is>
          <t>CAP</t>
        </is>
      </c>
      <c r="L204" s="4" t="inlineStr">
        <is>
          <t>期：</t>
        </is>
      </c>
      <c r="M204" s="4" t="inlineStr">
        <is>
          <t>職番：</t>
        </is>
      </c>
      <c r="N204" s="4" t="inlineStr">
        <is>
          <t>00040567</t>
        </is>
      </c>
      <c r="O204" s="4" t="inlineStr">
        <is>
          <t>所属：</t>
        </is>
      </c>
      <c r="P204" s="4" t="inlineStr">
        <is>
          <t>NTZNT</t>
        </is>
      </c>
      <c r="Q204" s="4" t="inlineStr">
        <is>
          <t>CAT資：</t>
        </is>
      </c>
      <c r="R204" s="4" t="inlineStr">
        <is>
          <t>CAT3</t>
        </is>
      </c>
      <c r="S204" s="4" t="inlineStr">
        <is>
          <t>T/O：</t>
        </is>
      </c>
      <c r="T204" s="4" t="inlineStr">
        <is>
          <t>3T250927</t>
        </is>
      </c>
      <c r="U204" s="4" t="inlineStr">
        <is>
          <t>L/D：</t>
        </is>
      </c>
      <c r="V204" s="4" t="inlineStr">
        <is>
          <t>3L250926</t>
        </is>
      </c>
      <c r="W204" s="4" t="inlineStr">
        <is>
          <t>PE：</t>
        </is>
      </c>
      <c r="X204" s="5" t="inlineStr">
        <is>
          <t>PE250918</t>
        </is>
      </c>
      <c r="Y204" s="4" t="inlineStr">
        <is>
          <t>誕生月：</t>
        </is>
      </c>
      <c r="Z204" s="4" t="inlineStr">
        <is>
          <t>06</t>
        </is>
      </c>
      <c r="AA204" s="6" t="inlineStr">
        <is>
          <t>電話：</t>
        </is>
      </c>
      <c r="AB204" s="6" t="inlineStr">
        <is>
          <t>047-382-0475</t>
        </is>
      </c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NTW004</t>
        </is>
      </c>
    </row>
    <row r="205">
      <c r="A205" s="1" t="inlineStr">
        <is>
          <t>40567-2</t>
        </is>
      </c>
      <c r="B205" s="1" t="inlineStr">
        <is>
          <t xml:space="preserve">MATSUI 井 </t>
        </is>
      </c>
      <c r="C205" s="1" t="inlineStr"/>
      <c r="D205" s="1" t="inlineStr">
        <is>
          <t>NTW004</t>
        </is>
      </c>
      <c r="E205" s="1" t="n"/>
      <c r="F205" s="7" t="inlineStr">
        <is>
          <t>01</t>
        </is>
      </c>
      <c r="G205" s="7" t="inlineStr">
        <is>
          <t>02</t>
        </is>
      </c>
      <c r="H205" s="8" t="inlineStr">
        <is>
          <t>03</t>
        </is>
      </c>
      <c r="I205" s="8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13" t="inlineStr">
        <is>
          <t>07</t>
        </is>
      </c>
      <c r="M205" s="8" t="inlineStr">
        <is>
          <t>08</t>
        </is>
      </c>
      <c r="N205" s="7" t="inlineStr">
        <is>
          <t>09</t>
        </is>
      </c>
      <c r="O205" s="8" t="inlineStr">
        <is>
          <t>10</t>
        </is>
      </c>
      <c r="P205" s="8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10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40567-3</t>
        </is>
      </c>
      <c r="B206" s="1" t="inlineStr">
        <is>
          <t xml:space="preserve">MATSUI 井 </t>
        </is>
      </c>
      <c r="C206" s="1" t="inlineStr"/>
      <c r="D206" s="1" t="inlineStr">
        <is>
          <t>NTW004</t>
        </is>
      </c>
      <c r="E206" s="1" t="n"/>
      <c r="F206" s="9" t="inlineStr">
        <is>
          <t>H</t>
        </is>
      </c>
      <c r="G206" s="9" t="inlineStr">
        <is>
          <t>H</t>
        </is>
      </c>
      <c r="H206" s="9" t="inlineStr">
        <is>
          <t>119
CAUG ISR
124
CAUG ISR
139
CAUG ISR</t>
        </is>
      </c>
      <c r="I206" s="9" t="inlineStr">
        <is>
          <t>116
CAUG ISR
125
CAUG ISR
128
CAUG ISR</t>
        </is>
      </c>
      <c r="J206" s="9" t="inlineStr">
        <is>
          <t>H</t>
        </is>
      </c>
      <c r="K206" s="9" t="inlineStr">
        <is>
          <t>H</t>
        </is>
      </c>
      <c r="L206" s="9" t="inlineStr">
        <is>
          <t>EDU
PH TRN</t>
        </is>
      </c>
      <c r="M206" s="9" t="inlineStr">
        <is>
          <t>95
CMD ISR</t>
        </is>
      </c>
      <c r="N206" s="9" t="inlineStr">
        <is>
          <t>---</t>
        </is>
      </c>
      <c r="O206" s="9" t="inlineStr">
        <is>
          <t>90
CMD ISR
225DH</t>
        </is>
      </c>
      <c r="P206" s="9" t="inlineStr">
        <is>
          <t>891
CMD ISR
894
CMD ISR
228DH</t>
        </is>
      </c>
      <c r="Q206" s="9" t="inlineStr">
        <is>
          <t>HH</t>
        </is>
      </c>
      <c r="R206" s="9" t="inlineStr">
        <is>
          <t>H/VAC</t>
        </is>
      </c>
      <c r="S206" s="9" t="inlineStr">
        <is>
          <t>M22
ISR
#2
17:00-21:00</t>
        </is>
      </c>
      <c r="T206" s="9" t="inlineStr">
        <is>
          <t>SX</t>
        </is>
      </c>
      <c r="U206" s="9" t="inlineStr">
        <is>
          <t>BLK</t>
        </is>
      </c>
      <c r="V206" s="9" t="inlineStr">
        <is>
          <t>33</t>
        </is>
      </c>
      <c r="W206" s="9" t="inlineStr">
        <is>
          <t>32</t>
        </is>
      </c>
      <c r="X206" s="9" t="inlineStr">
        <is>
          <t>HH</t>
        </is>
      </c>
      <c r="Y206" s="9" t="inlineStr">
        <is>
          <t>VAC</t>
        </is>
      </c>
      <c r="Z206" s="9" t="inlineStr">
        <is>
          <t>MTG1</t>
        </is>
      </c>
      <c r="AA206" s="9" t="inlineStr">
        <is>
          <t>59</t>
        </is>
      </c>
      <c r="AB206" s="9" t="inlineStr">
        <is>
          <t>---</t>
        </is>
      </c>
      <c r="AC206" s="9" t="inlineStr">
        <is>
          <t>---</t>
        </is>
      </c>
      <c r="AD206" s="9" t="inlineStr">
        <is>
          <t>---</t>
        </is>
      </c>
      <c r="AE206" s="9" t="inlineStr">
        <is>
          <t>50</t>
        </is>
      </c>
      <c r="AF206" s="9" t="inlineStr">
        <is>
          <t>H/VAC</t>
        </is>
      </c>
      <c r="AG206" s="9" t="inlineStr">
        <is>
          <t>H/VAC</t>
        </is>
      </c>
      <c r="AH206" s="9" t="inlineStr">
        <is>
          <t>GMT1</t>
        </is>
      </c>
      <c r="AI206" s="9" t="inlineStr">
        <is>
          <t>H</t>
        </is>
      </c>
      <c r="AJ206" s="9" t="inlineStr">
        <is>
          <t>CMD
ISR</t>
        </is>
      </c>
    </row>
    <row r="207">
      <c r="A207" s="1" t="inlineStr">
        <is>
          <t>40567-4</t>
        </is>
      </c>
      <c r="B207" s="1" t="inlineStr">
        <is>
          <t xml:space="preserve">MATSUI 井 </t>
        </is>
      </c>
      <c r="C207" s="1" t="inlineStr"/>
      <c r="D207" s="1" t="inlineStr">
        <is>
          <t>NTW004</t>
        </is>
      </c>
      <c r="E207" s="1" t="n"/>
      <c r="F207" s="9" t="inlineStr"/>
      <c r="G207" s="9" t="inlineStr"/>
      <c r="H207" s="9" t="inlineStr">
        <is>
          <t>TASAKASH</t>
        </is>
      </c>
      <c r="I207" s="9" t="inlineStr">
        <is>
          <t>TASAKASH</t>
        </is>
      </c>
      <c r="J207" s="9" t="inlineStr"/>
      <c r="K207" s="9" t="inlineStr"/>
      <c r="L207" s="9" t="inlineStr"/>
      <c r="M207" s="9" t="inlineStr">
        <is>
          <t>TSUNODAAK</t>
        </is>
      </c>
      <c r="N207" s="9" t="inlineStr"/>
      <c r="O207" s="9" t="inlineStr">
        <is>
          <t>TSUNODAAK</t>
        </is>
      </c>
      <c r="P207" s="9" t="inlineStr">
        <is>
          <t>TSUNODAAK</t>
        </is>
      </c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>
        <f>HYPERLINK("#Schedule!F58", "市川 TO (41467)")</f>
        <v/>
      </c>
      <c r="AB207" s="9" t="inlineStr"/>
      <c r="AC207" s="9" t="inlineStr"/>
      <c r="AD207" s="9" t="inlineStr"/>
      <c r="AE207" s="9">
        <f>HYPERLINK("#Schedule!F58", "市川 TO (41467)")</f>
        <v/>
      </c>
      <c r="AF207" s="9" t="inlineStr"/>
      <c r="AG207" s="9" t="inlineStr"/>
      <c r="AH207" s="9" t="inlineStr"/>
      <c r="AI207" s="9" t="inlineStr"/>
      <c r="AJ207" s="9" t="inlineStr"/>
    </row>
    <row r="208">
      <c r="A208" s="1" t="inlineStr">
        <is>
          <t>40789-1</t>
        </is>
      </c>
      <c r="B208" s="1" t="inlineStr">
        <is>
          <t>HONDA SH</t>
        </is>
      </c>
      <c r="C208" s="1" t="inlineStr"/>
      <c r="D208" s="1" t="inlineStr">
        <is>
          <t>NTW004</t>
        </is>
      </c>
      <c r="E208" s="1" t="n"/>
      <c r="F208" s="4" t="inlineStr">
        <is>
          <t>本田 SH</t>
        </is>
      </c>
      <c r="G208" s="4" t="inlineStr">
        <is>
          <t>SH</t>
        </is>
      </c>
      <c r="H208" s="4" t="inlineStr">
        <is>
          <t>機種：</t>
        </is>
      </c>
      <c r="I208" s="4" t="inlineStr">
        <is>
          <t>787</t>
        </is>
      </c>
      <c r="J208" s="4" t="inlineStr">
        <is>
          <t>ランク：</t>
        </is>
      </c>
      <c r="K208" s="4" t="inlineStr">
        <is>
          <t>CAP</t>
        </is>
      </c>
      <c r="L208" s="4" t="inlineStr">
        <is>
          <t>期：</t>
        </is>
      </c>
      <c r="M208" s="4" t="inlineStr">
        <is>
          <t>職番：</t>
        </is>
      </c>
      <c r="N208" s="4" t="inlineStr">
        <is>
          <t>00040789</t>
        </is>
      </c>
      <c r="O208" s="4" t="inlineStr">
        <is>
          <t>所属：</t>
        </is>
      </c>
      <c r="P208" s="4" t="inlineStr">
        <is>
          <t>NTZNT</t>
        </is>
      </c>
      <c r="Q208" s="4" t="inlineStr">
        <is>
          <t>CAT資：</t>
        </is>
      </c>
      <c r="R208" s="4" t="inlineStr">
        <is>
          <t>CAT3</t>
        </is>
      </c>
      <c r="S208" s="4" t="inlineStr">
        <is>
          <t>T/O：</t>
        </is>
      </c>
      <c r="T208" s="4" t="inlineStr">
        <is>
          <t>3T250816</t>
        </is>
      </c>
      <c r="U208" s="4" t="inlineStr">
        <is>
          <t>L/D：</t>
        </is>
      </c>
      <c r="V208" s="4" t="inlineStr">
        <is>
          <t>3L250815</t>
        </is>
      </c>
      <c r="W208" s="4" t="inlineStr">
        <is>
          <t>PE：</t>
        </is>
      </c>
      <c r="X208" s="5" t="inlineStr">
        <is>
          <t>PE260613</t>
        </is>
      </c>
      <c r="Y208" s="4" t="inlineStr">
        <is>
          <t>誕生月：</t>
        </is>
      </c>
      <c r="Z208" s="4" t="inlineStr">
        <is>
          <t>01</t>
        </is>
      </c>
      <c r="AA208" s="6" t="inlineStr">
        <is>
          <t>電話：</t>
        </is>
      </c>
      <c r="AB208" s="6" t="inlineStr">
        <is>
          <t>090-4963-6738</t>
        </is>
      </c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>
        <is>
          <t>NTW004</t>
        </is>
      </c>
    </row>
    <row r="209">
      <c r="A209" s="1" t="inlineStr">
        <is>
          <t>40789-2</t>
        </is>
      </c>
      <c r="B209" s="1" t="inlineStr">
        <is>
          <t>HONDA SH</t>
        </is>
      </c>
      <c r="C209" s="1" t="inlineStr"/>
      <c r="D209" s="1" t="inlineStr">
        <is>
          <t>NTW004</t>
        </is>
      </c>
      <c r="E209" s="1" t="n"/>
      <c r="F209" s="10" t="inlineStr">
        <is>
          <t>01</t>
        </is>
      </c>
      <c r="G209" s="7" t="inlineStr">
        <is>
          <t>02</t>
        </is>
      </c>
      <c r="H209" s="7" t="inlineStr">
        <is>
          <t>03</t>
        </is>
      </c>
      <c r="I209" s="8" t="inlineStr">
        <is>
          <t>04</t>
        </is>
      </c>
      <c r="J209" s="7" t="inlineStr">
        <is>
          <t>05</t>
        </is>
      </c>
      <c r="K209" s="8" t="inlineStr">
        <is>
          <t>06</t>
        </is>
      </c>
      <c r="L209" s="7" t="inlineStr">
        <is>
          <t>07</t>
        </is>
      </c>
      <c r="M209" s="8" t="inlineStr">
        <is>
          <t>08</t>
        </is>
      </c>
      <c r="N209" s="10" t="inlineStr">
        <is>
          <t>09</t>
        </is>
      </c>
      <c r="O209" s="7" t="inlineStr">
        <is>
          <t>10</t>
        </is>
      </c>
      <c r="P209" s="7" t="inlineStr">
        <is>
          <t>11</t>
        </is>
      </c>
      <c r="Q209" s="7" t="inlineStr">
        <is>
          <t>12</t>
        </is>
      </c>
      <c r="R209" s="7" t="inlineStr">
        <is>
          <t>13</t>
        </is>
      </c>
      <c r="S209" s="7" t="inlineStr">
        <is>
          <t>14</t>
        </is>
      </c>
      <c r="T209" s="8" t="inlineStr">
        <is>
          <t>15</t>
        </is>
      </c>
      <c r="U209" s="7" t="inlineStr">
        <is>
          <t>16</t>
        </is>
      </c>
      <c r="V209" s="8" t="inlineStr">
        <is>
          <t>17</t>
        </is>
      </c>
      <c r="W209" s="7" t="inlineStr">
        <is>
          <t>18</t>
        </is>
      </c>
      <c r="X209" s="7" t="inlineStr">
        <is>
          <t>19</t>
        </is>
      </c>
      <c r="Y209" s="7" t="inlineStr">
        <is>
          <t>20</t>
        </is>
      </c>
      <c r="Z209" s="7" t="inlineStr">
        <is>
          <t>21</t>
        </is>
      </c>
      <c r="AA209" s="7" t="inlineStr">
        <is>
          <t>22</t>
        </is>
      </c>
      <c r="AB209" s="12" t="inlineStr">
        <is>
          <t>23</t>
        </is>
      </c>
      <c r="AC209" s="12" t="inlineStr">
        <is>
          <t>24</t>
        </is>
      </c>
      <c r="AD209" s="7" t="inlineStr">
        <is>
          <t>25</t>
        </is>
      </c>
      <c r="AE209" s="7" t="inlineStr">
        <is>
          <t>26</t>
        </is>
      </c>
      <c r="AF209" s="7" t="inlineStr">
        <is>
          <t>27</t>
        </is>
      </c>
      <c r="AG209" s="7" t="inlineStr">
        <is>
          <t>28</t>
        </is>
      </c>
      <c r="AH209" s="7" t="inlineStr">
        <is>
          <t>29</t>
        </is>
      </c>
      <c r="AI209" s="7" t="inlineStr">
        <is>
          <t>30</t>
        </is>
      </c>
      <c r="AJ209" s="8" t="inlineStr">
        <is>
          <t>31</t>
        </is>
      </c>
    </row>
    <row r="210">
      <c r="A210" s="1" t="inlineStr">
        <is>
          <t>40789-3</t>
        </is>
      </c>
      <c r="B210" s="1" t="inlineStr">
        <is>
          <t>HONDA SH</t>
        </is>
      </c>
      <c r="C210" s="1" t="inlineStr"/>
      <c r="D210" s="1" t="inlineStr">
        <is>
          <t>NTW004</t>
        </is>
      </c>
      <c r="E210" s="1" t="n"/>
      <c r="F210" s="9" t="inlineStr">
        <is>
          <t>M12
ISR
#1
19:00-23:00</t>
        </is>
      </c>
      <c r="G210" s="9" t="inlineStr">
        <is>
          <t>HH</t>
        </is>
      </c>
      <c r="H210" s="9" t="inlineStr">
        <is>
          <t>HH</t>
        </is>
      </c>
      <c r="I210" s="9" t="inlineStr">
        <is>
          <t>759
RMD ISR</t>
        </is>
      </c>
      <c r="J210" s="9" t="inlineStr">
        <is>
          <t>---</t>
        </is>
      </c>
      <c r="K210" s="9" t="inlineStr">
        <is>
          <t>70
RMD ISR</t>
        </is>
      </c>
      <c r="L210" s="9" t="inlineStr">
        <is>
          <t>H</t>
        </is>
      </c>
      <c r="M210" s="9" t="inlineStr">
        <is>
          <t>23
CAUG ISR
24
CAUG ISR</t>
        </is>
      </c>
      <c r="N210" s="9" t="inlineStr">
        <is>
          <t>M22
ISR
#1
19:00-23:00</t>
        </is>
      </c>
      <c r="O210" s="9" t="inlineStr">
        <is>
          <t>H</t>
        </is>
      </c>
      <c r="P210" s="9" t="inlineStr">
        <is>
          <t>SUC2</t>
        </is>
      </c>
      <c r="Q210" s="9" t="inlineStr">
        <is>
          <t>RF</t>
        </is>
      </c>
      <c r="R210" s="9" t="inlineStr">
        <is>
          <t>H</t>
        </is>
      </c>
      <c r="S210" s="9" t="inlineStr">
        <is>
          <t>H</t>
        </is>
      </c>
      <c r="T210" s="9" t="inlineStr">
        <is>
          <t>759
VLDE ISR</t>
        </is>
      </c>
      <c r="U210" s="9" t="inlineStr">
        <is>
          <t>---</t>
        </is>
      </c>
      <c r="V210" s="9" t="inlineStr">
        <is>
          <t>70
VLDE ISR</t>
        </is>
      </c>
      <c r="W210" s="9" t="inlineStr">
        <is>
          <t>H</t>
        </is>
      </c>
      <c r="X210" s="9" t="inlineStr">
        <is>
          <t>H</t>
        </is>
      </c>
      <c r="Y210" s="9" t="inlineStr">
        <is>
          <t>R</t>
        </is>
      </c>
      <c r="Z210" s="9" t="inlineStr">
        <is>
          <t>MTG1</t>
        </is>
      </c>
      <c r="AA210" s="9" t="inlineStr">
        <is>
          <t>H</t>
        </is>
      </c>
      <c r="AB210" s="9" t="inlineStr">
        <is>
          <t>M11
TRN
#1
18:00-19:00</t>
        </is>
      </c>
      <c r="AC210" s="9" t="inlineStr">
        <is>
          <t>M12
TRN
#1
19:00-23:00</t>
        </is>
      </c>
      <c r="AD210" s="9" t="inlineStr">
        <is>
          <t>H</t>
        </is>
      </c>
      <c r="AE210" s="9" t="inlineStr">
        <is>
          <t>H</t>
        </is>
      </c>
      <c r="AF210" s="9" t="inlineStr">
        <is>
          <t>R</t>
        </is>
      </c>
      <c r="AG210" s="9" t="inlineStr">
        <is>
          <t>R</t>
        </is>
      </c>
      <c r="AH210" s="9" t="inlineStr">
        <is>
          <t>GMT1</t>
        </is>
      </c>
      <c r="AI210" s="9" t="inlineStr">
        <is>
          <t>MIDNIT</t>
        </is>
      </c>
      <c r="AJ210" s="9" t="inlineStr">
        <is>
          <t>79
CAUG ISR</t>
        </is>
      </c>
    </row>
    <row r="211">
      <c r="A211" s="1" t="inlineStr">
        <is>
          <t>40789-4</t>
        </is>
      </c>
      <c r="B211" s="1" t="inlineStr">
        <is>
          <t>HONDA SH</t>
        </is>
      </c>
      <c r="C211" s="1" t="inlineStr"/>
      <c r="D211" s="1" t="inlineStr">
        <is>
          <t>NTW004</t>
        </is>
      </c>
      <c r="E211" s="1" t="n"/>
      <c r="F211" s="9" t="inlineStr"/>
      <c r="G211" s="9" t="inlineStr"/>
      <c r="H211" s="9" t="inlineStr"/>
      <c r="I211" s="9">
        <f>HYPERLINK("#Schedule!F299", "OZAWAKO (41266)")</f>
        <v/>
      </c>
      <c r="J211" s="9" t="inlineStr"/>
      <c r="K211" s="9">
        <f>HYPERLINK("#Schedule!F299", "OZAWAKO (41266)")</f>
        <v/>
      </c>
      <c r="L211" s="9" t="inlineStr"/>
      <c r="M211" s="9" t="inlineStr">
        <is>
          <t>TOYAMASH</t>
        </is>
      </c>
      <c r="N211" s="9">
        <f>HYPERLINK("#Schedule!F28", "T毛利 YO (67849)")</f>
        <v/>
      </c>
      <c r="O211" s="9" t="inlineStr"/>
      <c r="P211" s="9" t="inlineStr"/>
      <c r="Q211" s="9" t="inlineStr"/>
      <c r="R211" s="9" t="inlineStr"/>
      <c r="S211" s="9" t="inlineStr"/>
      <c r="T211" s="9">
        <f>HYPERLINK("#Schedule!F350", "NAKAJIMATA (51865)")</f>
        <v/>
      </c>
      <c r="U211" s="9" t="inlineStr"/>
      <c r="V211" s="9">
        <f>HYPERLINK("#Schedule!F350", "NAKAJIMATA (51865)")</f>
        <v/>
      </c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>
        <f>HYPERLINK("#Schedule!F346", "KOIZUMIKE (53825)")</f>
        <v/>
      </c>
    </row>
    <row r="212">
      <c r="A212" s="1" t="inlineStr">
        <is>
          <t>41213-1</t>
        </is>
      </c>
      <c r="B212" s="1" t="inlineStr">
        <is>
          <t>SHIRAI MC</t>
        </is>
      </c>
      <c r="C212" s="1" t="inlineStr"/>
      <c r="D212" s="1" t="inlineStr">
        <is>
          <t>NTW004</t>
        </is>
      </c>
      <c r="E212" s="1" t="n"/>
      <c r="F212" s="4" t="inlineStr">
        <is>
          <t>白井 MC</t>
        </is>
      </c>
      <c r="G212" s="4" t="inlineStr">
        <is>
          <t>MC</t>
        </is>
      </c>
      <c r="H212" s="4" t="inlineStr">
        <is>
          <t>機種：</t>
        </is>
      </c>
      <c r="I212" s="4" t="inlineStr">
        <is>
          <t>787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00041213</t>
        </is>
      </c>
      <c r="O212" s="4" t="inlineStr">
        <is>
          <t>所属：</t>
        </is>
      </c>
      <c r="P212" s="4" t="inlineStr">
        <is>
          <t>NTZNT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3T250901</t>
        </is>
      </c>
      <c r="U212" s="4" t="inlineStr">
        <is>
          <t>L/D：</t>
        </is>
      </c>
      <c r="V212" s="4" t="inlineStr">
        <is>
          <t>3L250904</t>
        </is>
      </c>
      <c r="W212" s="4" t="inlineStr">
        <is>
          <t>PE：</t>
        </is>
      </c>
      <c r="X212" s="5" t="inlineStr">
        <is>
          <t>PE250920</t>
        </is>
      </c>
      <c r="Y212" s="4" t="inlineStr">
        <is>
          <t>誕生月：</t>
        </is>
      </c>
      <c r="Z212" s="4" t="inlineStr">
        <is>
          <t>11</t>
        </is>
      </c>
      <c r="AA212" s="6" t="inlineStr">
        <is>
          <t>電話：</t>
        </is>
      </c>
      <c r="AB212" s="6" t="inlineStr">
        <is>
          <t>046-871-2127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>
        <is>
          <t>NTW004</t>
        </is>
      </c>
    </row>
    <row r="213">
      <c r="A213" s="1" t="inlineStr">
        <is>
          <t>41213-2</t>
        </is>
      </c>
      <c r="B213" s="1" t="inlineStr">
        <is>
          <t>SHIRAI MC</t>
        </is>
      </c>
      <c r="C213" s="1" t="inlineStr"/>
      <c r="D213" s="1" t="inlineStr">
        <is>
          <t>NTW004</t>
        </is>
      </c>
      <c r="E213" s="1" t="n"/>
      <c r="F213" s="8" t="inlineStr">
        <is>
          <t>01</t>
        </is>
      </c>
      <c r="G213" s="7" t="inlineStr">
        <is>
          <t>02</t>
        </is>
      </c>
      <c r="H213" s="8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8" t="inlineStr">
        <is>
          <t>06</t>
        </is>
      </c>
      <c r="L213" s="8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8" t="inlineStr">
        <is>
          <t>11</t>
        </is>
      </c>
      <c r="Q213" s="8" t="inlineStr">
        <is>
          <t>12</t>
        </is>
      </c>
      <c r="R213" s="7" t="inlineStr">
        <is>
          <t>13</t>
        </is>
      </c>
      <c r="S213" s="8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7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7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10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41213-3</t>
        </is>
      </c>
      <c r="B214" s="1" t="inlineStr">
        <is>
          <t>SHIRAI MC</t>
        </is>
      </c>
      <c r="C214" s="1" t="inlineStr"/>
      <c r="D214" s="1" t="inlineStr">
        <is>
          <t>NTW004</t>
        </is>
      </c>
      <c r="E214" s="1" t="n"/>
      <c r="F214" s="9" t="inlineStr">
        <is>
          <t>37
VLDP ISR</t>
        </is>
      </c>
      <c r="G214" s="9" t="inlineStr">
        <is>
          <t>---</t>
        </is>
      </c>
      <c r="H214" s="9" t="inlineStr">
        <is>
          <t>36
VLDP ISR</t>
        </is>
      </c>
      <c r="I214" s="9" t="inlineStr">
        <is>
          <t>*H</t>
        </is>
      </c>
      <c r="J214" s="9" t="inlineStr">
        <is>
          <t>H</t>
        </is>
      </c>
      <c r="K214" s="9" t="inlineStr">
        <is>
          <t>505
VLDE ISR
506
VLDE ISR
517
VLDE ISR</t>
        </is>
      </c>
      <c r="L214" s="9" t="inlineStr">
        <is>
          <t>516
VLDE ISR
527
VLDE ISR
528
VLDE ISR</t>
        </is>
      </c>
      <c r="M214" s="9" t="inlineStr">
        <is>
          <t>BLK</t>
        </is>
      </c>
      <c r="N214" s="9" t="inlineStr">
        <is>
          <t>H</t>
        </is>
      </c>
      <c r="O214" s="9" t="inlineStr">
        <is>
          <t>NTZF0</t>
        </is>
      </c>
      <c r="P214" s="9" t="inlineStr">
        <is>
          <t>99
VLDP ISR</t>
        </is>
      </c>
      <c r="Q214" s="9" t="inlineStr">
        <is>
          <t>96
VLDP ISR</t>
        </is>
      </c>
      <c r="R214" s="9" t="inlineStr">
        <is>
          <t>RF</t>
        </is>
      </c>
      <c r="S214" s="9" t="inlineStr">
        <is>
          <t>23
CAUG ISR
24
CAUG ISR</t>
        </is>
      </c>
      <c r="T214" s="9" t="inlineStr">
        <is>
          <t>H</t>
        </is>
      </c>
      <c r="U214" s="9" t="inlineStr">
        <is>
          <t>H</t>
        </is>
      </c>
      <c r="V214" s="9" t="inlineStr">
        <is>
          <t>NTW1</t>
        </is>
      </c>
      <c r="W214" s="9" t="inlineStr">
        <is>
          <t>NTW1</t>
        </is>
      </c>
      <c r="X214" s="9" t="inlineStr">
        <is>
          <t>NTW1</t>
        </is>
      </c>
      <c r="Y214" s="9" t="inlineStr">
        <is>
          <t>MTG1</t>
        </is>
      </c>
      <c r="Z214" s="9" t="inlineStr">
        <is>
          <t>MTG1</t>
        </is>
      </c>
      <c r="AA214" s="9" t="inlineStr">
        <is>
          <t>HH</t>
        </is>
      </c>
      <c r="AB214" s="9" t="inlineStr">
        <is>
          <t>H</t>
        </is>
      </c>
      <c r="AC214" s="9" t="inlineStr">
        <is>
          <t>PH3
ISR</t>
        </is>
      </c>
      <c r="AD214" s="9" t="inlineStr">
        <is>
          <t>PH3
ISR</t>
        </is>
      </c>
      <c r="AE214" s="9" t="inlineStr">
        <is>
          <t>H*</t>
        </is>
      </c>
      <c r="AF214" s="9" t="inlineStr">
        <is>
          <t>M12
ISR
#2
15:00-19:00</t>
        </is>
      </c>
      <c r="AG214" s="9" t="inlineStr">
        <is>
          <t>H</t>
        </is>
      </c>
      <c r="AH214" s="9" t="inlineStr">
        <is>
          <t>GMT1</t>
        </is>
      </c>
      <c r="AI214" s="9" t="inlineStr">
        <is>
          <t>HH</t>
        </is>
      </c>
      <c r="AJ214" s="9" t="inlineStr">
        <is>
          <t>39</t>
        </is>
      </c>
    </row>
    <row r="215">
      <c r="A215" s="1" t="inlineStr">
        <is>
          <t>41213-4</t>
        </is>
      </c>
      <c r="B215" s="1" t="inlineStr">
        <is>
          <t>SHIRAI MC</t>
        </is>
      </c>
      <c r="C215" s="1" t="inlineStr"/>
      <c r="D215" s="1" t="inlineStr">
        <is>
          <t>NTW004</t>
        </is>
      </c>
      <c r="E215" s="1" t="n"/>
      <c r="F215" s="9">
        <f>HYPERLINK("#Schedule!F388", "MOMOZAKIMA (53883)")</f>
        <v/>
      </c>
      <c r="G215" s="9" t="inlineStr"/>
      <c r="H215" s="9">
        <f>HYPERLINK("#Schedule!F388", "MOMOZAKIMA (53883)")</f>
        <v/>
      </c>
      <c r="I215" s="9" t="inlineStr"/>
      <c r="J215" s="9" t="inlineStr"/>
      <c r="K215" s="9">
        <f>HYPERLINK("#Schedule!F311", "KANEHARAMO (51867)")</f>
        <v/>
      </c>
      <c r="L215" s="9">
        <f>HYPERLINK("#Schedule!F311", "KANEHARAMO (51867)")</f>
        <v/>
      </c>
      <c r="M215" s="9" t="inlineStr"/>
      <c r="N215" s="9" t="inlineStr"/>
      <c r="O215" s="9" t="inlineStr"/>
      <c r="P215" s="9">
        <f>HYPERLINK("#Schedule!F388", "MOMOZAKIMA (53883)")</f>
        <v/>
      </c>
      <c r="Q215" s="9">
        <f>HYPERLINK("#Schedule!F388", "MOMOZAKIMA (53883)")</f>
        <v/>
      </c>
      <c r="R215" s="9" t="inlineStr"/>
      <c r="S215" s="9" t="inlineStr">
        <is>
          <t>TOYAMASH</t>
        </is>
      </c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>
        <is>
          <t>I山本KC</t>
        </is>
      </c>
      <c r="AG215" s="9" t="inlineStr"/>
      <c r="AH215" s="9" t="inlineStr"/>
      <c r="AI215" s="9" t="inlineStr"/>
      <c r="AJ215" s="9" t="inlineStr"/>
    </row>
    <row r="216">
      <c r="A216" s="1" t="inlineStr">
        <is>
          <t>41213-5</t>
        </is>
      </c>
      <c r="B216" s="1" t="inlineStr">
        <is>
          <t>SHIRAI MC</t>
        </is>
      </c>
      <c r="C216" s="1" t="inlineStr"/>
      <c r="D216" s="1" t="inlineStr">
        <is>
          <t>NTW004</t>
        </is>
      </c>
      <c r="E216" s="1" t="n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inlineStr"/>
      <c r="AE216" s="9" t="inlineStr"/>
      <c r="AF216" s="9" t="inlineStr">
        <is>
          <t>T得能 YU</t>
        </is>
      </c>
      <c r="AG216" s="9" t="inlineStr"/>
      <c r="AH216" s="9" t="inlineStr"/>
      <c r="AI216" s="9" t="inlineStr"/>
      <c r="AJ216" s="9" t="inlineStr"/>
    </row>
    <row r="217">
      <c r="A217" s="1" t="inlineStr">
        <is>
          <t>44871-1</t>
        </is>
      </c>
      <c r="B217" s="1" t="inlineStr">
        <is>
          <t>UEGAKI NO</t>
        </is>
      </c>
      <c r="C217" s="1" t="inlineStr"/>
      <c r="D217" s="1" t="inlineStr">
        <is>
          <t>NTW004</t>
        </is>
      </c>
      <c r="E217" s="1" t="n"/>
      <c r="F217" s="4" t="inlineStr">
        <is>
          <t>上垣 NO</t>
        </is>
      </c>
      <c r="G217" s="4" t="inlineStr">
        <is>
          <t>NO</t>
        </is>
      </c>
      <c r="H217" s="4" t="inlineStr">
        <is>
          <t>機種：</t>
        </is>
      </c>
      <c r="I217" s="4" t="inlineStr">
        <is>
          <t>787</t>
        </is>
      </c>
      <c r="J217" s="4" t="inlineStr">
        <is>
          <t>ランク：</t>
        </is>
      </c>
      <c r="K217" s="4" t="inlineStr">
        <is>
          <t>CAP</t>
        </is>
      </c>
      <c r="L217" s="4" t="inlineStr">
        <is>
          <t>期：</t>
        </is>
      </c>
      <c r="M217" s="4" t="inlineStr">
        <is>
          <t>職番：</t>
        </is>
      </c>
      <c r="N217" s="4" t="inlineStr">
        <is>
          <t>00044871</t>
        </is>
      </c>
      <c r="O217" s="4" t="inlineStr">
        <is>
          <t>所属：</t>
        </is>
      </c>
      <c r="P217" s="4" t="inlineStr">
        <is>
          <t>NTZNT</t>
        </is>
      </c>
      <c r="Q217" s="4" t="inlineStr">
        <is>
          <t>CAT資：</t>
        </is>
      </c>
      <c r="R217" s="4" t="inlineStr">
        <is>
          <t>CAT3</t>
        </is>
      </c>
      <c r="S217" s="4" t="inlineStr">
        <is>
          <t>T/O：</t>
        </is>
      </c>
      <c r="T217" s="4" t="inlineStr">
        <is>
          <t>3T250928</t>
        </is>
      </c>
      <c r="U217" s="4" t="inlineStr">
        <is>
          <t>L/D：</t>
        </is>
      </c>
      <c r="V217" s="4" t="inlineStr">
        <is>
          <t>3L251005</t>
        </is>
      </c>
      <c r="W217" s="4" t="inlineStr">
        <is>
          <t>PE：</t>
        </is>
      </c>
      <c r="X217" s="5" t="inlineStr">
        <is>
          <t>PE260629</t>
        </is>
      </c>
      <c r="Y217" s="4" t="inlineStr">
        <is>
          <t>誕生月：</t>
        </is>
      </c>
      <c r="Z217" s="4" t="inlineStr">
        <is>
          <t>09</t>
        </is>
      </c>
      <c r="AA217" s="6" t="inlineStr">
        <is>
          <t>電話：</t>
        </is>
      </c>
      <c r="AB217" s="6" t="inlineStr">
        <is>
          <t>03-6276-3170</t>
        </is>
      </c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>
        <is>
          <t>NTW004</t>
        </is>
      </c>
    </row>
    <row r="218">
      <c r="A218" s="1" t="inlineStr">
        <is>
          <t>44871-2</t>
        </is>
      </c>
      <c r="B218" s="1" t="inlineStr">
        <is>
          <t>UEGAKI NO</t>
        </is>
      </c>
      <c r="C218" s="1" t="inlineStr"/>
      <c r="D218" s="1" t="inlineStr">
        <is>
          <t>NTW004</t>
        </is>
      </c>
      <c r="E218" s="1" t="n"/>
      <c r="F218" s="7" t="inlineStr">
        <is>
          <t>01</t>
        </is>
      </c>
      <c r="G218" s="7" t="inlineStr">
        <is>
          <t>02</t>
        </is>
      </c>
      <c r="H218" s="7" t="inlineStr">
        <is>
          <t>03</t>
        </is>
      </c>
      <c r="I218" s="7" t="inlineStr">
        <is>
          <t>04</t>
        </is>
      </c>
      <c r="J218" s="7" t="inlineStr">
        <is>
          <t>05</t>
        </is>
      </c>
      <c r="K218" s="7" t="inlineStr">
        <is>
          <t>06</t>
        </is>
      </c>
      <c r="L218" s="7" t="inlineStr">
        <is>
          <t>07</t>
        </is>
      </c>
      <c r="M218" s="7" t="inlineStr">
        <is>
          <t>08</t>
        </is>
      </c>
      <c r="N218" s="7" t="inlineStr">
        <is>
          <t>09</t>
        </is>
      </c>
      <c r="O218" s="7" t="inlineStr">
        <is>
          <t>10</t>
        </is>
      </c>
      <c r="P218" s="7" t="inlineStr">
        <is>
          <t>11</t>
        </is>
      </c>
      <c r="Q218" s="7" t="inlineStr">
        <is>
          <t>12</t>
        </is>
      </c>
      <c r="R218" s="7" t="inlineStr">
        <is>
          <t>13</t>
        </is>
      </c>
      <c r="S218" s="7" t="inlineStr">
        <is>
          <t>14</t>
        </is>
      </c>
      <c r="T218" s="7" t="inlineStr">
        <is>
          <t>15</t>
        </is>
      </c>
      <c r="U218" s="7" t="inlineStr">
        <is>
          <t>16</t>
        </is>
      </c>
      <c r="V218" s="7" t="inlineStr">
        <is>
          <t>17</t>
        </is>
      </c>
      <c r="W218" s="7" t="inlineStr">
        <is>
          <t>18</t>
        </is>
      </c>
      <c r="X218" s="8" t="inlineStr">
        <is>
          <t>19</t>
        </is>
      </c>
      <c r="Y218" s="8" t="inlineStr">
        <is>
          <t>20</t>
        </is>
      </c>
      <c r="Z218" s="7" t="inlineStr">
        <is>
          <t>21</t>
        </is>
      </c>
      <c r="AA218" s="7" t="inlineStr">
        <is>
          <t>22</t>
        </is>
      </c>
      <c r="AB218" s="12" t="inlineStr">
        <is>
          <t>23</t>
        </is>
      </c>
      <c r="AC218" s="7" t="inlineStr">
        <is>
          <t>24</t>
        </is>
      </c>
      <c r="AD218" s="8" t="inlineStr">
        <is>
          <t>25</t>
        </is>
      </c>
      <c r="AE218" s="8" t="inlineStr">
        <is>
          <t>26</t>
        </is>
      </c>
      <c r="AF218" s="7" t="inlineStr">
        <is>
          <t>27</t>
        </is>
      </c>
      <c r="AG218" s="7" t="inlineStr">
        <is>
          <t>28</t>
        </is>
      </c>
      <c r="AH218" s="7" t="inlineStr">
        <is>
          <t>29</t>
        </is>
      </c>
      <c r="AI218" s="13" t="inlineStr">
        <is>
          <t>30</t>
        </is>
      </c>
      <c r="AJ218" s="13" t="inlineStr">
        <is>
          <t>31</t>
        </is>
      </c>
    </row>
    <row r="219">
      <c r="A219" s="1" t="inlineStr">
        <is>
          <t>44871-3</t>
        </is>
      </c>
      <c r="B219" s="1" t="inlineStr">
        <is>
          <t>UEGAKI NO</t>
        </is>
      </c>
      <c r="C219" s="1" t="inlineStr"/>
      <c r="D219" s="1" t="inlineStr">
        <is>
          <t>NTW004</t>
        </is>
      </c>
      <c r="E219" s="1" t="n"/>
      <c r="F219" s="9" t="inlineStr">
        <is>
          <t>407</t>
        </is>
      </c>
      <c r="G219" s="9" t="inlineStr">
        <is>
          <t>---</t>
        </is>
      </c>
      <c r="H219" s="9" t="inlineStr">
        <is>
          <t>---</t>
        </is>
      </c>
      <c r="I219" s="9" t="inlineStr">
        <is>
          <t>408</t>
        </is>
      </c>
      <c r="J219" s="9" t="inlineStr">
        <is>
          <t>H/VAC</t>
        </is>
      </c>
      <c r="K219" s="9" t="inlineStr">
        <is>
          <t>H/VAC</t>
        </is>
      </c>
      <c r="L219" s="9" t="inlineStr">
        <is>
          <t>*H</t>
        </is>
      </c>
      <c r="M219" s="9" t="inlineStr">
        <is>
          <t>25</t>
        </is>
      </c>
      <c r="N219" s="9" t="inlineStr">
        <is>
          <t>20</t>
        </is>
      </c>
      <c r="O219" s="9" t="inlineStr">
        <is>
          <t>VACN</t>
        </is>
      </c>
      <c r="P219" s="9" t="inlineStr">
        <is>
          <t>NTW1</t>
        </is>
      </c>
      <c r="Q219" s="9" t="inlineStr">
        <is>
          <t>H</t>
        </is>
      </c>
      <c r="R219" s="9" t="inlineStr">
        <is>
          <t>773</t>
        </is>
      </c>
      <c r="S219" s="9" t="inlineStr">
        <is>
          <t>---</t>
        </is>
      </c>
      <c r="T219" s="9" t="inlineStr">
        <is>
          <t>---</t>
        </is>
      </c>
      <c r="U219" s="9" t="inlineStr">
        <is>
          <t>774</t>
        </is>
      </c>
      <c r="V219" s="9" t="inlineStr">
        <is>
          <t>H</t>
        </is>
      </c>
      <c r="W219" s="9" t="inlineStr">
        <is>
          <t>H</t>
        </is>
      </c>
      <c r="X219" s="9" t="inlineStr">
        <is>
          <t>101
CAUG ISR
106
CAUG ISR
113
CAUG ISR</t>
        </is>
      </c>
      <c r="Y219" s="9" t="inlineStr">
        <is>
          <t>104
CAUG ISR
111
CAUG ISR
114
CAUG ISR</t>
        </is>
      </c>
      <c r="Z219" s="9" t="inlineStr">
        <is>
          <t>H</t>
        </is>
      </c>
      <c r="AA219" s="9" t="inlineStr">
        <is>
          <t>29</t>
        </is>
      </c>
      <c r="AB219" s="9" t="inlineStr">
        <is>
          <t>736
QPR_ TRN</t>
        </is>
      </c>
      <c r="AC219" s="9" t="inlineStr">
        <is>
          <t>H</t>
        </is>
      </c>
      <c r="AD219" s="9" t="inlineStr">
        <is>
          <t>305
CMD ISR
308
CMD ISR
515
CMD ISR</t>
        </is>
      </c>
      <c r="AE219" s="9" t="inlineStr">
        <is>
          <t>514
CMD ISR
329
CMD ISR
332
CMD ISR</t>
        </is>
      </c>
      <c r="AF219" s="9" t="inlineStr">
        <is>
          <t>HH</t>
        </is>
      </c>
      <c r="AG219" s="9" t="inlineStr">
        <is>
          <t>HH</t>
        </is>
      </c>
      <c r="AH219" s="9" t="inlineStr">
        <is>
          <t>GMT1</t>
        </is>
      </c>
      <c r="AI219" s="9" t="inlineStr">
        <is>
          <t>EDU
PH TRN</t>
        </is>
      </c>
      <c r="AJ219" s="9" t="inlineStr">
        <is>
          <t>RCBT
CBT1 TRN
GS
GS-C TRN
DIT
DIT TRN</t>
        </is>
      </c>
    </row>
    <row r="220">
      <c r="A220" s="1" t="inlineStr">
        <is>
          <t>44871-4</t>
        </is>
      </c>
      <c r="B220" s="1" t="inlineStr">
        <is>
          <t>UEGAKI NO</t>
        </is>
      </c>
      <c r="C220" s="1" t="inlineStr"/>
      <c r="D220" s="1" t="inlineStr">
        <is>
          <t>NTW004</t>
        </is>
      </c>
      <c r="E220" s="1" t="n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>
        <f>HYPERLINK("#Schedule!F169", "今井 HI (49241)")</f>
        <v/>
      </c>
      <c r="S220" s="9" t="inlineStr"/>
      <c r="T220" s="9" t="inlineStr"/>
      <c r="U220" s="9">
        <f>HYPERLINK("#Schedule!F169", "今井 HI (49241)")</f>
        <v/>
      </c>
      <c r="V220" s="9" t="inlineStr"/>
      <c r="W220" s="9" t="inlineStr"/>
      <c r="X220" s="9" t="inlineStr">
        <is>
          <t>TOYAMASH</t>
        </is>
      </c>
      <c r="Y220" s="9" t="inlineStr">
        <is>
          <t>TOYAMASH</t>
        </is>
      </c>
      <c r="Z220" s="9" t="inlineStr"/>
      <c r="AA220" s="9" t="inlineStr"/>
      <c r="AB220" s="9" t="inlineStr"/>
      <c r="AC220" s="9" t="inlineStr"/>
      <c r="AD220" s="9">
        <f>HYPERLINK("#Schedule!F358", "KIMURASG (43856)")</f>
        <v/>
      </c>
      <c r="AE220" s="9">
        <f>HYPERLINK("#Schedule!F358", "KIMURASG (43856)")</f>
        <v/>
      </c>
      <c r="AF220" s="9" t="inlineStr"/>
      <c r="AG220" s="9" t="inlineStr"/>
      <c r="AH220" s="9" t="inlineStr"/>
      <c r="AI220" s="9" t="inlineStr"/>
      <c r="AJ220" s="9" t="inlineStr"/>
    </row>
    <row r="221">
      <c r="A221" s="1" t="inlineStr">
        <is>
          <t>48009-1</t>
        </is>
      </c>
      <c r="B221" s="1" t="inlineStr">
        <is>
          <t>NAKAMURA TS</t>
        </is>
      </c>
      <c r="C221" s="1" t="inlineStr"/>
      <c r="D221" s="1" t="inlineStr">
        <is>
          <t>NTW004</t>
        </is>
      </c>
      <c r="E221" s="1" t="n"/>
      <c r="F221" s="4" t="inlineStr">
        <is>
          <t>中村TS</t>
        </is>
      </c>
      <c r="G221" s="4" t="inlineStr">
        <is>
          <t>TS</t>
        </is>
      </c>
      <c r="H221" s="4" t="inlineStr">
        <is>
          <t>機種：</t>
        </is>
      </c>
      <c r="I221" s="4" t="inlineStr">
        <is>
          <t>787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00048009</t>
        </is>
      </c>
      <c r="O221" s="4" t="inlineStr">
        <is>
          <t>所属：</t>
        </is>
      </c>
      <c r="P221" s="4" t="inlineStr">
        <is>
          <t>NTZNT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3T251004</t>
        </is>
      </c>
      <c r="U221" s="4" t="inlineStr">
        <is>
          <t>L/D：</t>
        </is>
      </c>
      <c r="V221" s="4" t="inlineStr">
        <is>
          <t>3L251004</t>
        </is>
      </c>
      <c r="W221" s="4" t="inlineStr">
        <is>
          <t>PE：</t>
        </is>
      </c>
      <c r="X221" s="5" t="inlineStr">
        <is>
          <t>PE260624</t>
        </is>
      </c>
      <c r="Y221" s="4" t="inlineStr">
        <is>
          <t>誕生月：</t>
        </is>
      </c>
      <c r="Z221" s="4" t="inlineStr">
        <is>
          <t>12</t>
        </is>
      </c>
      <c r="AA221" s="6" t="inlineStr">
        <is>
          <t>電話：</t>
        </is>
      </c>
      <c r="AB221" s="6" t="inlineStr">
        <is>
          <t>090-9388-3383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>
        <is>
          <t>NTW004</t>
        </is>
      </c>
    </row>
    <row r="222">
      <c r="A222" s="1" t="inlineStr">
        <is>
          <t>48009-2</t>
        </is>
      </c>
      <c r="B222" s="1" t="inlineStr">
        <is>
          <t>NAKAMURA TS</t>
        </is>
      </c>
      <c r="C222" s="1" t="inlineStr"/>
      <c r="D222" s="1" t="inlineStr">
        <is>
          <t>NTW004</t>
        </is>
      </c>
      <c r="E222" s="1" t="n"/>
      <c r="F222" s="7" t="inlineStr">
        <is>
          <t>01</t>
        </is>
      </c>
      <c r="G222" s="7" t="inlineStr">
        <is>
          <t>02</t>
        </is>
      </c>
      <c r="H222" s="7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8" t="inlineStr">
        <is>
          <t>11</t>
        </is>
      </c>
      <c r="Q222" s="8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8" t="inlineStr">
        <is>
          <t>16</t>
        </is>
      </c>
      <c r="V222" s="8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12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7" t="inlineStr">
        <is>
          <t>28</t>
        </is>
      </c>
      <c r="AH222" s="7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48009-3</t>
        </is>
      </c>
      <c r="B223" s="1" t="inlineStr">
        <is>
          <t>NAKAMURA TS</t>
        </is>
      </c>
      <c r="C223" s="1" t="inlineStr"/>
      <c r="D223" s="1" t="inlineStr">
        <is>
          <t>NTW004</t>
        </is>
      </c>
      <c r="E223" s="1" t="n"/>
      <c r="F223" s="9" t="inlineStr">
        <is>
          <t>VAC</t>
        </is>
      </c>
      <c r="G223" s="9" t="inlineStr">
        <is>
          <t>VAC</t>
        </is>
      </c>
      <c r="H223" s="9" t="inlineStr">
        <is>
          <t>VAC</t>
        </is>
      </c>
      <c r="I223" s="9" t="inlineStr">
        <is>
          <t>81
82</t>
        </is>
      </c>
      <c r="J223" s="9" t="inlineStr">
        <is>
          <t>RF</t>
        </is>
      </c>
      <c r="K223" s="9" t="inlineStr">
        <is>
          <t>221DH</t>
        </is>
      </c>
      <c r="L223" s="9" t="inlineStr">
        <is>
          <t>727</t>
        </is>
      </c>
      <c r="M223" s="9" t="inlineStr">
        <is>
          <t>---</t>
        </is>
      </c>
      <c r="N223" s="9" t="inlineStr">
        <is>
          <t>708</t>
        </is>
      </c>
      <c r="O223" s="9" t="inlineStr">
        <is>
          <t>H</t>
        </is>
      </c>
      <c r="P223" s="9" t="inlineStr">
        <is>
          <t>305
CARF ISR
308
CARF ISR
515
CARF ISR</t>
        </is>
      </c>
      <c r="Q223" s="9" t="inlineStr">
        <is>
          <t>514
CARF ISR
329
CARF ISR
332
CARF ISR</t>
        </is>
      </c>
      <c r="R223" s="9" t="inlineStr">
        <is>
          <t>H</t>
        </is>
      </c>
      <c r="S223" s="9" t="inlineStr">
        <is>
          <t>H</t>
        </is>
      </c>
      <c r="T223" s="9" t="inlineStr">
        <is>
          <t>MIDNIT</t>
        </is>
      </c>
      <c r="U223" s="9" t="inlineStr">
        <is>
          <t>79
CMD ISR</t>
        </is>
      </c>
      <c r="V223" s="9" t="inlineStr">
        <is>
          <t>750
CMD ISR</t>
        </is>
      </c>
      <c r="W223" s="9" t="inlineStr">
        <is>
          <t>HH</t>
        </is>
      </c>
      <c r="X223" s="9" t="inlineStr">
        <is>
          <t>HH</t>
        </is>
      </c>
      <c r="Y223" s="9" t="inlineStr">
        <is>
          <t>H</t>
        </is>
      </c>
      <c r="Z223" s="9" t="inlineStr">
        <is>
          <t>305
308
515</t>
        </is>
      </c>
      <c r="AA223" s="9" t="inlineStr">
        <is>
          <t>514
329
332</t>
        </is>
      </c>
      <c r="AB223" s="9" t="inlineStr">
        <is>
          <t>H</t>
        </is>
      </c>
      <c r="AC223" s="9" t="inlineStr">
        <is>
          <t>M21
TRN
#1
11:00-15:00</t>
        </is>
      </c>
      <c r="AD223" s="9" t="inlineStr">
        <is>
          <t>M22
TRN
#1
19:00-23:00</t>
        </is>
      </c>
      <c r="AE223" s="9" t="inlineStr">
        <is>
          <t>H</t>
        </is>
      </c>
      <c r="AF223" s="9" t="inlineStr">
        <is>
          <t>H</t>
        </is>
      </c>
      <c r="AG223" s="9" t="inlineStr">
        <is>
          <t>H</t>
        </is>
      </c>
      <c r="AH223" s="9" t="inlineStr">
        <is>
          <t>GMT1</t>
        </is>
      </c>
      <c r="AI223" s="9" t="inlineStr">
        <is>
          <t>39</t>
        </is>
      </c>
      <c r="AJ223" s="9" t="inlineStr">
        <is>
          <t>---</t>
        </is>
      </c>
    </row>
    <row r="224">
      <c r="A224" s="1" t="inlineStr">
        <is>
          <t>48009-4</t>
        </is>
      </c>
      <c r="B224" s="1" t="inlineStr">
        <is>
          <t>NAKAMURA TS</t>
        </is>
      </c>
      <c r="C224" s="1" t="inlineStr"/>
      <c r="D224" s="1" t="inlineStr">
        <is>
          <t>NTW004</t>
        </is>
      </c>
      <c r="E224" s="1" t="n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>
        <is>
          <t>ISHIGUROKA</t>
        </is>
      </c>
      <c r="V224" s="9" t="inlineStr">
        <is>
          <t>ISHIGUROKA</t>
        </is>
      </c>
      <c r="W224" s="9" t="inlineStr"/>
      <c r="X224" s="9" t="inlineStr"/>
      <c r="Y224" s="9" t="inlineStr"/>
      <c r="Z224" s="9">
        <f>HYPERLINK("#Schedule!F429", "OGURAKA (53852)")</f>
        <v/>
      </c>
      <c r="AA224" s="9">
        <f>HYPERLINK("#Schedule!F429", "OGURAKA (53852)")</f>
        <v/>
      </c>
      <c r="AB224" s="9" t="inlineStr"/>
      <c r="AC224" s="9" t="inlineStr">
        <is>
          <t>I望月 YO</t>
        </is>
      </c>
      <c r="AD224" s="9" t="inlineStr">
        <is>
          <t>I山本KC</t>
        </is>
      </c>
      <c r="AE224" s="9" t="inlineStr"/>
      <c r="AF224" s="9" t="inlineStr"/>
      <c r="AG224" s="9" t="inlineStr"/>
      <c r="AH224" s="9" t="inlineStr"/>
      <c r="AI224" s="9">
        <f>HYPERLINK("#Schedule!F133", "岡 HD (36149)")</f>
        <v/>
      </c>
      <c r="AJ224" s="9" t="inlineStr"/>
    </row>
    <row r="225">
      <c r="A225" s="1" t="inlineStr">
        <is>
          <t>48009-5</t>
        </is>
      </c>
      <c r="B225" s="1" t="inlineStr">
        <is>
          <t>NAKAMURA TS</t>
        </is>
      </c>
      <c r="C225" s="1" t="inlineStr"/>
      <c r="D225" s="1" t="inlineStr">
        <is>
          <t>NTW004</t>
        </is>
      </c>
      <c r="E225" s="1" t="n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>
        <f>HYPERLINK("#Schedule!F264", "I藤本 TK (48992)")</f>
        <v/>
      </c>
      <c r="AE225" s="9" t="inlineStr"/>
      <c r="AF225" s="9" t="inlineStr"/>
      <c r="AG225" s="9" t="inlineStr"/>
      <c r="AH225" s="9" t="inlineStr"/>
      <c r="AI225" s="9" t="inlineStr"/>
      <c r="AJ225" s="9" t="inlineStr"/>
    </row>
    <row r="226">
      <c r="A226" s="1" t="inlineStr">
        <is>
          <t>49181-1</t>
        </is>
      </c>
      <c r="B226" s="1" t="inlineStr">
        <is>
          <t>YOKOI TO</t>
        </is>
      </c>
      <c r="C226" s="1" t="inlineStr"/>
      <c r="D226" s="1" t="inlineStr">
        <is>
          <t>NTW005</t>
        </is>
      </c>
      <c r="E226" s="1" t="n"/>
      <c r="F226" s="4" t="inlineStr">
        <is>
          <t>横井 TO</t>
        </is>
      </c>
      <c r="G226" s="4" t="inlineStr">
        <is>
          <t>TO</t>
        </is>
      </c>
      <c r="H226" s="4" t="inlineStr">
        <is>
          <t>機種：</t>
        </is>
      </c>
      <c r="I226" s="4" t="inlineStr">
        <is>
          <t>787</t>
        </is>
      </c>
      <c r="J226" s="4" t="inlineStr">
        <is>
          <t>ランク：</t>
        </is>
      </c>
      <c r="K226" s="4" t="inlineStr">
        <is>
          <t>CAP</t>
        </is>
      </c>
      <c r="L226" s="4" t="inlineStr">
        <is>
          <t>期：</t>
        </is>
      </c>
      <c r="M226" s="4" t="inlineStr">
        <is>
          <t>職番：</t>
        </is>
      </c>
      <c r="N226" s="4" t="inlineStr">
        <is>
          <t>00049181</t>
        </is>
      </c>
      <c r="O226" s="4" t="inlineStr">
        <is>
          <t>所属：</t>
        </is>
      </c>
      <c r="P226" s="4" t="inlineStr">
        <is>
          <t>NTZNT</t>
        </is>
      </c>
      <c r="Q226" s="4" t="inlineStr">
        <is>
          <t>CAT資：</t>
        </is>
      </c>
      <c r="R226" s="4" t="inlineStr">
        <is>
          <t>CAT3</t>
        </is>
      </c>
      <c r="S226" s="4" t="inlineStr">
        <is>
          <t>T/O：</t>
        </is>
      </c>
      <c r="T226" s="4" t="inlineStr">
        <is>
          <t>L/D：</t>
        </is>
      </c>
      <c r="U226" s="4" t="inlineStr">
        <is>
          <t>3L250814</t>
        </is>
      </c>
      <c r="V226" s="4" t="inlineStr">
        <is>
          <t>PE：</t>
        </is>
      </c>
      <c r="W226" s="5" t="inlineStr">
        <is>
          <t>PE250905</t>
        </is>
      </c>
      <c r="X226" s="4" t="inlineStr">
        <is>
          <t>誕生月：</t>
        </is>
      </c>
      <c r="Y226" s="4" t="inlineStr">
        <is>
          <t>06</t>
        </is>
      </c>
      <c r="Z226" s="6" t="inlineStr">
        <is>
          <t>電話：</t>
        </is>
      </c>
      <c r="AA226" s="6" t="inlineStr">
        <is>
          <t>090-4742-9785</t>
        </is>
      </c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>
        <is>
          <t>NTW005</t>
        </is>
      </c>
    </row>
    <row r="227">
      <c r="A227" s="1" t="inlineStr">
        <is>
          <t>49181-2</t>
        </is>
      </c>
      <c r="B227" s="1" t="inlineStr">
        <is>
          <t>YOKOI TO</t>
        </is>
      </c>
      <c r="C227" s="1" t="inlineStr"/>
      <c r="D227" s="1" t="inlineStr">
        <is>
          <t>NTW005</t>
        </is>
      </c>
      <c r="E227" s="1" t="n"/>
      <c r="F227" s="7" t="inlineStr">
        <is>
          <t>01</t>
        </is>
      </c>
      <c r="G227" s="7" t="inlineStr">
        <is>
          <t>02</t>
        </is>
      </c>
      <c r="H227" s="7" t="inlineStr">
        <is>
          <t>03</t>
        </is>
      </c>
      <c r="I227" s="7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7" t="inlineStr">
        <is>
          <t>09</t>
        </is>
      </c>
      <c r="O227" s="7" t="inlineStr">
        <is>
          <t>10</t>
        </is>
      </c>
      <c r="P227" s="13" t="inlineStr">
        <is>
          <t>11</t>
        </is>
      </c>
      <c r="Q227" s="7" t="inlineStr">
        <is>
          <t>12</t>
        </is>
      </c>
      <c r="R227" s="10" t="inlineStr">
        <is>
          <t>13</t>
        </is>
      </c>
      <c r="S227" s="7" t="inlineStr">
        <is>
          <t>14</t>
        </is>
      </c>
      <c r="T227" s="8" t="inlineStr">
        <is>
          <t>15</t>
        </is>
      </c>
      <c r="U227" s="8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7" t="inlineStr">
        <is>
          <t>19</t>
        </is>
      </c>
      <c r="Y227" s="7" t="inlineStr">
        <is>
          <t>20</t>
        </is>
      </c>
      <c r="Z227" s="7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49181-3</t>
        </is>
      </c>
      <c r="B228" s="1" t="inlineStr">
        <is>
          <t>YOKOI TO</t>
        </is>
      </c>
      <c r="C228" s="1" t="inlineStr"/>
      <c r="D228" s="1" t="inlineStr">
        <is>
          <t>NTW005</t>
        </is>
      </c>
      <c r="E228" s="1" t="n"/>
      <c r="F228" s="9" t="inlineStr">
        <is>
          <t>HH</t>
        </is>
      </c>
      <c r="G228" s="9" t="inlineStr">
        <is>
          <t>HH</t>
        </is>
      </c>
      <c r="H228" s="9" t="inlineStr">
        <is>
          <t>H</t>
        </is>
      </c>
      <c r="I228" s="9" t="inlineStr">
        <is>
          <t>H</t>
        </is>
      </c>
      <c r="J228" s="9" t="inlineStr">
        <is>
          <t>H</t>
        </is>
      </c>
      <c r="K228" s="9" t="inlineStr">
        <is>
          <t>H</t>
        </is>
      </c>
      <c r="L228" s="9" t="inlineStr">
        <is>
          <t>H</t>
        </is>
      </c>
      <c r="M228" s="9" t="inlineStr">
        <is>
          <t>MTG1</t>
        </is>
      </c>
      <c r="N228" s="9" t="inlineStr">
        <is>
          <t>NTZ1</t>
        </is>
      </c>
      <c r="O228" s="9" t="inlineStr">
        <is>
          <t>PH3
ISR
#1
21:00-23:00</t>
        </is>
      </c>
      <c r="P228" s="9" t="inlineStr">
        <is>
          <t>EDU
PH TRN</t>
        </is>
      </c>
      <c r="Q228" s="9" t="inlineStr">
        <is>
          <t>H</t>
        </is>
      </c>
      <c r="R228" s="9" t="inlineStr">
        <is>
          <t>M12
ISR
#2
17:00-21:00</t>
        </is>
      </c>
      <c r="S228" s="9" t="inlineStr">
        <is>
          <t>MTG1</t>
        </is>
      </c>
      <c r="T228" s="9" t="inlineStr">
        <is>
          <t>99
CAUG ISR</t>
        </is>
      </c>
      <c r="U228" s="9" t="inlineStr">
        <is>
          <t>96
CAUG ISR</t>
        </is>
      </c>
      <c r="V228" s="9" t="inlineStr">
        <is>
          <t>H</t>
        </is>
      </c>
      <c r="W228" s="9" t="inlineStr">
        <is>
          <t>NTW1</t>
        </is>
      </c>
      <c r="X228" s="9" t="inlineStr">
        <is>
          <t>NTW1</t>
        </is>
      </c>
      <c r="Y228" s="9" t="inlineStr">
        <is>
          <t>MTG1</t>
        </is>
      </c>
      <c r="Z228" s="9" t="inlineStr">
        <is>
          <t>MTG1</t>
        </is>
      </c>
      <c r="AA228" s="9" t="inlineStr">
        <is>
          <t>NTW1</t>
        </is>
      </c>
      <c r="AB228" s="9" t="inlineStr">
        <is>
          <t>VAC</t>
        </is>
      </c>
      <c r="AC228" s="9" t="inlineStr">
        <is>
          <t>VAC</t>
        </is>
      </c>
      <c r="AD228" s="9" t="inlineStr">
        <is>
          <t>R</t>
        </is>
      </c>
      <c r="AE228" s="9" t="inlineStr">
        <is>
          <t>93
94</t>
        </is>
      </c>
      <c r="AF228" s="9" t="inlineStr">
        <is>
          <t>H</t>
        </is>
      </c>
      <c r="AG228" s="9" t="inlineStr">
        <is>
          <t>PE
PE TRN
PE
PE TRN</t>
        </is>
      </c>
      <c r="AH228" s="9" t="inlineStr">
        <is>
          <t>GMT1</t>
        </is>
      </c>
      <c r="AI228" s="9" t="inlineStr">
        <is>
          <t>VAC</t>
        </is>
      </c>
      <c r="AJ228" s="9" t="inlineStr">
        <is>
          <t>VAC</t>
        </is>
      </c>
    </row>
    <row r="229">
      <c r="A229" s="1" t="inlineStr">
        <is>
          <t>49181-4</t>
        </is>
      </c>
      <c r="B229" s="1" t="inlineStr">
        <is>
          <t>YOKOI TO</t>
        </is>
      </c>
      <c r="C229" s="1" t="inlineStr"/>
      <c r="D229" s="1" t="inlineStr">
        <is>
          <t>NTW005</t>
        </is>
      </c>
      <c r="E229" s="1" t="n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>
        <f>HYPERLINK("#Schedule!F374", "NAKAITO (53882)")</f>
        <v/>
      </c>
      <c r="U229" s="9">
        <f>HYPERLINK("#Schedule!F374", "NAKAITO (53882)")</f>
        <v/>
      </c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</row>
    <row r="230">
      <c r="A230" s="1" t="inlineStr">
        <is>
          <t>40576-1</t>
        </is>
      </c>
      <c r="B230" s="1" t="inlineStr">
        <is>
          <t>KOGOMORI KE</t>
        </is>
      </c>
      <c r="C230" s="1" t="inlineStr"/>
      <c r="D230" s="1" t="inlineStr">
        <is>
          <t>NTW005</t>
        </is>
      </c>
      <c r="E230" s="1" t="n"/>
      <c r="F230" s="4" t="inlineStr">
        <is>
          <t>子籠 KE</t>
        </is>
      </c>
      <c r="G230" s="4" t="inlineStr">
        <is>
          <t>KN</t>
        </is>
      </c>
      <c r="H230" s="4" t="inlineStr">
        <is>
          <t>機種：</t>
        </is>
      </c>
      <c r="I230" s="4" t="inlineStr">
        <is>
          <t>787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00040576</t>
        </is>
      </c>
      <c r="O230" s="4" t="inlineStr">
        <is>
          <t>所属：</t>
        </is>
      </c>
      <c r="P230" s="4" t="inlineStr">
        <is>
          <t>NTZNT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3T250914</t>
        </is>
      </c>
      <c r="U230" s="4" t="inlineStr">
        <is>
          <t>L/D：</t>
        </is>
      </c>
      <c r="V230" s="4" t="inlineStr">
        <is>
          <t>3L250914</t>
        </is>
      </c>
      <c r="W230" s="4" t="inlineStr">
        <is>
          <t>PE：</t>
        </is>
      </c>
      <c r="X230" s="5" t="inlineStr">
        <is>
          <t>PE251208</t>
        </is>
      </c>
      <c r="Y230" s="4" t="inlineStr">
        <is>
          <t>誕生月：</t>
        </is>
      </c>
      <c r="Z230" s="4" t="inlineStr">
        <is>
          <t>08</t>
        </is>
      </c>
      <c r="AA230" s="6" t="inlineStr">
        <is>
          <t>電話：</t>
        </is>
      </c>
      <c r="AB230" s="6" t="inlineStr">
        <is>
          <t>090-4368-9381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>
        <is>
          <t>NTW005</t>
        </is>
      </c>
    </row>
    <row r="231">
      <c r="A231" s="1" t="inlineStr">
        <is>
          <t>40576-2</t>
        </is>
      </c>
      <c r="B231" s="1" t="inlineStr">
        <is>
          <t>KOGOMORI KE</t>
        </is>
      </c>
      <c r="C231" s="1" t="inlineStr"/>
      <c r="D231" s="1" t="inlineStr">
        <is>
          <t>NTW005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7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7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12" t="inlineStr">
        <is>
          <t>18</t>
        </is>
      </c>
      <c r="X231" s="7" t="inlineStr">
        <is>
          <t>19</t>
        </is>
      </c>
      <c r="Y231" s="8" t="inlineStr">
        <is>
          <t>20</t>
        </is>
      </c>
      <c r="Z231" s="8" t="inlineStr">
        <is>
          <t>21</t>
        </is>
      </c>
      <c r="AA231" s="7" t="inlineStr">
        <is>
          <t>22</t>
        </is>
      </c>
      <c r="AB231" s="13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40576-3</t>
        </is>
      </c>
      <c r="B232" s="1" t="inlineStr">
        <is>
          <t>KOGOMORI KE</t>
        </is>
      </c>
      <c r="C232" s="1" t="inlineStr"/>
      <c r="D232" s="1" t="inlineStr">
        <is>
          <t>NTW005</t>
        </is>
      </c>
      <c r="E232" s="1" t="n"/>
      <c r="F232" s="9" t="inlineStr">
        <is>
          <t>51</t>
        </is>
      </c>
      <c r="G232" s="9" t="inlineStr">
        <is>
          <t>---</t>
        </is>
      </c>
      <c r="H232" s="9" t="inlineStr">
        <is>
          <t>52</t>
        </is>
      </c>
      <c r="I232" s="9" t="inlineStr">
        <is>
          <t>*H</t>
        </is>
      </c>
      <c r="J232" s="9" t="inlineStr">
        <is>
          <t>VAC/SIK</t>
        </is>
      </c>
      <c r="K232" s="9" t="inlineStr">
        <is>
          <t>VAC/SIK</t>
        </is>
      </c>
      <c r="L232" s="9" t="inlineStr">
        <is>
          <t>VAC/SIK</t>
        </is>
      </c>
      <c r="M232" s="9" t="inlineStr">
        <is>
          <t>H</t>
        </is>
      </c>
      <c r="N232" s="9" t="inlineStr">
        <is>
          <t>H</t>
        </is>
      </c>
      <c r="O232" s="9" t="inlineStr">
        <is>
          <t>CATR
ISR
#1
11:00-15:00
CATR/CHK</t>
        </is>
      </c>
      <c r="P232" s="9" t="inlineStr">
        <is>
          <t>NTW1</t>
        </is>
      </c>
      <c r="Q232" s="9" t="inlineStr">
        <is>
          <t>H</t>
        </is>
      </c>
      <c r="R232" s="9" t="inlineStr">
        <is>
          <t>H</t>
        </is>
      </c>
      <c r="S232" s="9" t="inlineStr">
        <is>
          <t>NQM1</t>
        </is>
      </c>
      <c r="T232" s="9" t="inlineStr">
        <is>
          <t>MTG1</t>
        </is>
      </c>
      <c r="U232" s="9" t="inlineStr">
        <is>
          <t>NTW1</t>
        </is>
      </c>
      <c r="V232" s="9" t="inlineStr">
        <is>
          <t>H</t>
        </is>
      </c>
      <c r="W232" s="9" t="inlineStr">
        <is>
          <t>111
QPR_ TRN
114DH</t>
        </is>
      </c>
      <c r="X232" s="9" t="inlineStr">
        <is>
          <t>23
24</t>
        </is>
      </c>
      <c r="Y232" s="9" t="inlineStr">
        <is>
          <t>99
CFM ISR</t>
        </is>
      </c>
      <c r="Z232" s="9" t="inlineStr">
        <is>
          <t>96
CFM ISR</t>
        </is>
      </c>
      <c r="AA232" s="9" t="inlineStr">
        <is>
          <t>H</t>
        </is>
      </c>
      <c r="AB232" s="9" t="inlineStr">
        <is>
          <t>RCBT
CBT1 TRN
GS
GS-C TRN
DIT
DIT TRN</t>
        </is>
      </c>
      <c r="AC232" s="9" t="inlineStr">
        <is>
          <t>VAC</t>
        </is>
      </c>
      <c r="AD232" s="9" t="inlineStr">
        <is>
          <t>H</t>
        </is>
      </c>
      <c r="AE232" s="9" t="inlineStr">
        <is>
          <t>H</t>
        </is>
      </c>
      <c r="AF232" s="9" t="inlineStr">
        <is>
          <t>BT</t>
        </is>
      </c>
      <c r="AG232" s="9" t="inlineStr">
        <is>
          <t>BT</t>
        </is>
      </c>
      <c r="AH232" s="9" t="inlineStr">
        <is>
          <t>FOTR
ISR
#7
15:20-18:20
FOTR/CHK</t>
        </is>
      </c>
      <c r="AI232" s="9" t="inlineStr">
        <is>
          <t>H</t>
        </is>
      </c>
      <c r="AJ232" s="9" t="inlineStr">
        <is>
          <t>BT</t>
        </is>
      </c>
    </row>
    <row r="233">
      <c r="A233" s="1" t="inlineStr">
        <is>
          <t>40576-4</t>
        </is>
      </c>
      <c r="B233" s="1" t="inlineStr">
        <is>
          <t>KOGOMORI KE</t>
        </is>
      </c>
      <c r="C233" s="1" t="inlineStr"/>
      <c r="D233" s="1" t="inlineStr">
        <is>
          <t>NTW005</t>
        </is>
      </c>
      <c r="E233" s="1" t="n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>
        <is>
          <t>I廣田 SH</t>
        </is>
      </c>
      <c r="P233" s="9" t="inlineStr"/>
      <c r="Q233" s="9" t="inlineStr"/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9" t="inlineStr"/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>
        <is>
          <t>I山口 KO</t>
        </is>
      </c>
      <c r="AI233" s="9" t="inlineStr"/>
      <c r="AJ233" s="9" t="inlineStr"/>
    </row>
    <row r="234">
      <c r="A234" s="1" t="inlineStr">
        <is>
          <t>67428-1</t>
        </is>
      </c>
      <c r="B234" s="1" t="inlineStr">
        <is>
          <t>TOMIKAWA MA</t>
        </is>
      </c>
      <c r="C234" s="1" t="inlineStr"/>
      <c r="D234" s="1" t="inlineStr">
        <is>
          <t>NTW005</t>
        </is>
      </c>
      <c r="E234" s="1" t="n"/>
      <c r="F234" s="4" t="inlineStr">
        <is>
          <t>富川 MA</t>
        </is>
      </c>
      <c r="G234" s="4" t="inlineStr">
        <is>
          <t>MA</t>
        </is>
      </c>
      <c r="H234" s="4" t="inlineStr">
        <is>
          <t>機種：</t>
        </is>
      </c>
      <c r="I234" s="4" t="inlineStr">
        <is>
          <t>787</t>
        </is>
      </c>
      <c r="J234" s="4" t="inlineStr">
        <is>
          <t>ランク：</t>
        </is>
      </c>
      <c r="K234" s="4" t="inlineStr">
        <is>
          <t>CAP</t>
        </is>
      </c>
      <c r="L234" s="4" t="inlineStr">
        <is>
          <t>期：</t>
        </is>
      </c>
      <c r="M234" s="4" t="inlineStr">
        <is>
          <t>職番：</t>
        </is>
      </c>
      <c r="N234" s="4" t="inlineStr">
        <is>
          <t>00067428</t>
        </is>
      </c>
      <c r="O234" s="4" t="inlineStr">
        <is>
          <t>所属：</t>
        </is>
      </c>
      <c r="P234" s="4" t="inlineStr">
        <is>
          <t>NTZNT</t>
        </is>
      </c>
      <c r="Q234" s="4" t="inlineStr">
        <is>
          <t>CAT資：</t>
        </is>
      </c>
      <c r="R234" s="4" t="inlineStr">
        <is>
          <t>CAT3</t>
        </is>
      </c>
      <c r="S234" s="4" t="inlineStr">
        <is>
          <t>T/O：</t>
        </is>
      </c>
      <c r="T234" s="4" t="inlineStr">
        <is>
          <t>3T250829</t>
        </is>
      </c>
      <c r="U234" s="4" t="inlineStr">
        <is>
          <t>L/D：</t>
        </is>
      </c>
      <c r="V234" s="4" t="inlineStr">
        <is>
          <t>3L250913</t>
        </is>
      </c>
      <c r="W234" s="4" t="inlineStr">
        <is>
          <t>PE：</t>
        </is>
      </c>
      <c r="X234" s="5" t="inlineStr">
        <is>
          <t>PE250903</t>
        </is>
      </c>
      <c r="Y234" s="4" t="inlineStr">
        <is>
          <t>誕生月：</t>
        </is>
      </c>
      <c r="Z234" s="4" t="inlineStr">
        <is>
          <t>04</t>
        </is>
      </c>
      <c r="AA234" s="6" t="inlineStr">
        <is>
          <t>電話：</t>
        </is>
      </c>
      <c r="AB234" s="6" t="inlineStr">
        <is>
          <t>090-4221-1987</t>
        </is>
      </c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>
        <is>
          <t>NTW005</t>
        </is>
      </c>
    </row>
    <row r="235">
      <c r="A235" s="1" t="inlineStr">
        <is>
          <t>67428-2</t>
        </is>
      </c>
      <c r="B235" s="1" t="inlineStr">
        <is>
          <t>TOMIKAWA MA</t>
        </is>
      </c>
      <c r="C235" s="1" t="inlineStr"/>
      <c r="D235" s="1" t="inlineStr">
        <is>
          <t>NTW005</t>
        </is>
      </c>
      <c r="E235" s="1" t="n"/>
      <c r="F235" s="7" t="inlineStr">
        <is>
          <t>01</t>
        </is>
      </c>
      <c r="G235" s="7" t="inlineStr">
        <is>
          <t>02</t>
        </is>
      </c>
      <c r="H235" s="7" t="inlineStr">
        <is>
          <t>03</t>
        </is>
      </c>
      <c r="I235" s="7" t="inlineStr">
        <is>
          <t>04</t>
        </is>
      </c>
      <c r="J235" s="7" t="inlineStr">
        <is>
          <t>05</t>
        </is>
      </c>
      <c r="K235" s="7" t="inlineStr">
        <is>
          <t>06</t>
        </is>
      </c>
      <c r="L235" s="7" t="inlineStr">
        <is>
          <t>07</t>
        </is>
      </c>
      <c r="M235" s="7" t="inlineStr">
        <is>
          <t>08</t>
        </is>
      </c>
      <c r="N235" s="7" t="inlineStr">
        <is>
          <t>09</t>
        </is>
      </c>
      <c r="O235" s="7" t="inlineStr">
        <is>
          <t>10</t>
        </is>
      </c>
      <c r="P235" s="8" t="inlineStr">
        <is>
          <t>11</t>
        </is>
      </c>
      <c r="Q235" s="7" t="inlineStr">
        <is>
          <t>12</t>
        </is>
      </c>
      <c r="R235" s="8" t="inlineStr">
        <is>
          <t>13</t>
        </is>
      </c>
      <c r="S235" s="7" t="inlineStr">
        <is>
          <t>14</t>
        </is>
      </c>
      <c r="T235" s="7" t="inlineStr">
        <is>
          <t>15</t>
        </is>
      </c>
      <c r="U235" s="7" t="inlineStr">
        <is>
          <t>16</t>
        </is>
      </c>
      <c r="V235" s="7" t="inlineStr">
        <is>
          <t>17</t>
        </is>
      </c>
      <c r="W235" s="8" t="inlineStr">
        <is>
          <t>18</t>
        </is>
      </c>
      <c r="X235" s="7" t="inlineStr">
        <is>
          <t>19</t>
        </is>
      </c>
      <c r="Y235" s="8" t="inlineStr">
        <is>
          <t>20</t>
        </is>
      </c>
      <c r="Z235" s="8" t="inlineStr">
        <is>
          <t>21</t>
        </is>
      </c>
      <c r="AA235" s="7" t="inlineStr">
        <is>
          <t>22</t>
        </is>
      </c>
      <c r="AB235" s="7" t="inlineStr">
        <is>
          <t>23</t>
        </is>
      </c>
      <c r="AC235" s="8" t="inlineStr">
        <is>
          <t>24</t>
        </is>
      </c>
      <c r="AD235" s="7" t="inlineStr">
        <is>
          <t>25</t>
        </is>
      </c>
      <c r="AE235" s="8" t="inlineStr">
        <is>
          <t>26</t>
        </is>
      </c>
      <c r="AF235" s="7" t="inlineStr">
        <is>
          <t>27</t>
        </is>
      </c>
      <c r="AG235" s="7" t="inlineStr">
        <is>
          <t>28</t>
        </is>
      </c>
      <c r="AH235" s="7" t="inlineStr">
        <is>
          <t>29</t>
        </is>
      </c>
      <c r="AI235" s="7" t="inlineStr">
        <is>
          <t>30</t>
        </is>
      </c>
      <c r="AJ235" s="8" t="inlineStr">
        <is>
          <t>31</t>
        </is>
      </c>
    </row>
    <row r="236">
      <c r="A236" s="1" t="inlineStr">
        <is>
          <t>67428-3</t>
        </is>
      </c>
      <c r="B236" s="1" t="inlineStr">
        <is>
          <t>TOMIKAWA MA</t>
        </is>
      </c>
      <c r="C236" s="1" t="inlineStr"/>
      <c r="D236" s="1" t="inlineStr">
        <is>
          <t>NTW005</t>
        </is>
      </c>
      <c r="E236" s="1" t="n"/>
      <c r="F236" s="9" t="inlineStr">
        <is>
          <t>VAC</t>
        </is>
      </c>
      <c r="G236" s="9" t="inlineStr">
        <is>
          <t>VAC</t>
        </is>
      </c>
      <c r="H236" s="9" t="inlineStr">
        <is>
          <t>HH</t>
        </is>
      </c>
      <c r="I236" s="9" t="inlineStr">
        <is>
          <t>HH</t>
        </is>
      </c>
      <c r="J236" s="9" t="inlineStr">
        <is>
          <t>CMD
ISR
#1
19:00-23:00</t>
        </is>
      </c>
      <c r="K236" s="9" t="inlineStr">
        <is>
          <t>753</t>
        </is>
      </c>
      <c r="L236" s="9" t="inlineStr">
        <is>
          <t>---</t>
        </is>
      </c>
      <c r="M236" s="9" t="inlineStr">
        <is>
          <t>754</t>
        </is>
      </c>
      <c r="N236" s="9" t="inlineStr">
        <is>
          <t>H/VAC</t>
        </is>
      </c>
      <c r="O236" s="9" t="inlineStr">
        <is>
          <t>H</t>
        </is>
      </c>
      <c r="P236" s="9" t="inlineStr">
        <is>
          <t>725
CMD ISR</t>
        </is>
      </c>
      <c r="Q236" s="9" t="inlineStr">
        <is>
          <t>---</t>
        </is>
      </c>
      <c r="R236" s="9" t="inlineStr">
        <is>
          <t>726
CMD ISR</t>
        </is>
      </c>
      <c r="S236" s="9" t="inlineStr">
        <is>
          <t>*H</t>
        </is>
      </c>
      <c r="T236" s="9" t="inlineStr">
        <is>
          <t>H</t>
        </is>
      </c>
      <c r="U236" s="9" t="inlineStr">
        <is>
          <t>RF</t>
        </is>
      </c>
      <c r="V236" s="9" t="inlineStr">
        <is>
          <t>H</t>
        </is>
      </c>
      <c r="W236" s="9" t="inlineStr">
        <is>
          <t>95
CMD ISR</t>
        </is>
      </c>
      <c r="X236" s="9" t="inlineStr">
        <is>
          <t>---</t>
        </is>
      </c>
      <c r="Y236" s="9" t="inlineStr">
        <is>
          <t>90
CMD ISR
225DH</t>
        </is>
      </c>
      <c r="Z236" s="9" t="inlineStr">
        <is>
          <t>891
CMD ISR
894
CMD ISR
134DH</t>
        </is>
      </c>
      <c r="AA236" s="9" t="inlineStr">
        <is>
          <t>H/VAC</t>
        </is>
      </c>
      <c r="AB236" s="9" t="inlineStr">
        <is>
          <t>H</t>
        </is>
      </c>
      <c r="AC236" s="9" t="inlineStr">
        <is>
          <t>759
CMD ISR</t>
        </is>
      </c>
      <c r="AD236" s="9" t="inlineStr">
        <is>
          <t>---</t>
        </is>
      </c>
      <c r="AE236" s="9" t="inlineStr">
        <is>
          <t>70
CMD ISR</t>
        </is>
      </c>
      <c r="AF236" s="9" t="inlineStr">
        <is>
          <t>H</t>
        </is>
      </c>
      <c r="AG236" s="9" t="inlineStr">
        <is>
          <t>PE
PEF TRN
PE
PEF TRN</t>
        </is>
      </c>
      <c r="AH236" s="9" t="inlineStr">
        <is>
          <t>GMT1</t>
        </is>
      </c>
      <c r="AI236" s="9" t="inlineStr">
        <is>
          <t>H</t>
        </is>
      </c>
      <c r="AJ236" s="9" t="inlineStr">
        <is>
          <t>133
CMD ISR
138
CMD ISR</t>
        </is>
      </c>
    </row>
    <row r="237">
      <c r="A237" s="1" t="inlineStr">
        <is>
          <t>67428-4</t>
        </is>
      </c>
      <c r="B237" s="1" t="inlineStr">
        <is>
          <t>TOMIKAWA MA</t>
        </is>
      </c>
      <c r="C237" s="1" t="inlineStr"/>
      <c r="D237" s="1" t="inlineStr">
        <is>
          <t>NTW005</t>
        </is>
      </c>
      <c r="E237" s="1" t="n"/>
      <c r="F237" s="9" t="inlineStr"/>
      <c r="G237" s="9" t="inlineStr"/>
      <c r="H237" s="9" t="inlineStr"/>
      <c r="I237" s="9" t="inlineStr"/>
      <c r="J237" s="9" t="inlineStr"/>
      <c r="K237" s="9">
        <f>HYPERLINK("#Schedule!F77", "古池 TO (67650)")</f>
        <v/>
      </c>
      <c r="L237" s="9" t="inlineStr"/>
      <c r="M237" s="9">
        <f>HYPERLINK("#Schedule!F77", "古池 TO (67650)")</f>
        <v/>
      </c>
      <c r="N237" s="9" t="inlineStr"/>
      <c r="O237" s="9" t="inlineStr"/>
      <c r="P237" s="9" t="inlineStr">
        <is>
          <t>TAKAGIHI</t>
        </is>
      </c>
      <c r="Q237" s="9" t="inlineStr"/>
      <c r="R237" s="9" t="inlineStr">
        <is>
          <t>TAKAGIHI</t>
        </is>
      </c>
      <c r="S237" s="9" t="inlineStr"/>
      <c r="T237" s="9" t="inlineStr"/>
      <c r="U237" s="9" t="inlineStr"/>
      <c r="V237" s="9" t="inlineStr"/>
      <c r="W237" s="9">
        <f>HYPERLINK("#Schedule!F358", "KIMURASG (43856)")</f>
        <v/>
      </c>
      <c r="X237" s="9" t="inlineStr"/>
      <c r="Y237" s="9">
        <f>HYPERLINK("#Schedule!F358", "KIMURASG (43856)")</f>
        <v/>
      </c>
      <c r="Z237" s="9">
        <f>HYPERLINK("#Schedule!F358", "KIMURASG (43856)")</f>
        <v/>
      </c>
      <c r="AA237" s="9" t="inlineStr"/>
      <c r="AB237" s="9" t="inlineStr"/>
      <c r="AC237" s="9">
        <f>HYPERLINK("#Schedule!F383", "SEKIYO (53828)")</f>
        <v/>
      </c>
      <c r="AD237" s="9" t="inlineStr"/>
      <c r="AE237" s="9">
        <f>HYPERLINK("#Schedule!F383", "SEKIYO (53828)")</f>
        <v/>
      </c>
      <c r="AF237" s="9" t="inlineStr"/>
      <c r="AG237" s="9" t="inlineStr"/>
      <c r="AH237" s="9" t="inlineStr"/>
      <c r="AI237" s="9" t="inlineStr"/>
      <c r="AJ237" s="9" t="inlineStr">
        <is>
          <t>ISHIGUROKA</t>
        </is>
      </c>
    </row>
    <row r="238">
      <c r="A238" s="1" t="inlineStr">
        <is>
          <t>67670-1</t>
        </is>
      </c>
      <c r="B238" s="1" t="inlineStr">
        <is>
          <t>KOBAYASHI NO</t>
        </is>
      </c>
      <c r="C238" s="1" t="inlineStr"/>
      <c r="D238" s="1" t="inlineStr">
        <is>
          <t>NTW005</t>
        </is>
      </c>
      <c r="E238" s="1" t="n"/>
      <c r="F238" s="4" t="inlineStr">
        <is>
          <t>小林 NO</t>
        </is>
      </c>
      <c r="G238" s="4" t="inlineStr">
        <is>
          <t>NO</t>
        </is>
      </c>
      <c r="H238" s="4" t="inlineStr">
        <is>
          <t>機種：</t>
        </is>
      </c>
      <c r="I238" s="4" t="inlineStr">
        <is>
          <t>787</t>
        </is>
      </c>
      <c r="J238" s="4" t="inlineStr">
        <is>
          <t>ランク：</t>
        </is>
      </c>
      <c r="K238" s="4" t="inlineStr">
        <is>
          <t>CAP</t>
        </is>
      </c>
      <c r="L238" s="4" t="inlineStr">
        <is>
          <t>期：</t>
        </is>
      </c>
      <c r="M238" s="4" t="inlineStr">
        <is>
          <t>職番：</t>
        </is>
      </c>
      <c r="N238" s="4" t="inlineStr">
        <is>
          <t>00067670</t>
        </is>
      </c>
      <c r="O238" s="4" t="inlineStr">
        <is>
          <t>所属：</t>
        </is>
      </c>
      <c r="P238" s="4" t="inlineStr">
        <is>
          <t>NTZNT</t>
        </is>
      </c>
      <c r="Q238" s="4" t="inlineStr">
        <is>
          <t>CAT資：</t>
        </is>
      </c>
      <c r="R238" s="4" t="inlineStr">
        <is>
          <t>CAT3</t>
        </is>
      </c>
      <c r="S238" s="4" t="inlineStr">
        <is>
          <t>T/O：</t>
        </is>
      </c>
      <c r="T238" s="4" t="inlineStr">
        <is>
          <t>3T251007</t>
        </is>
      </c>
      <c r="U238" s="4" t="inlineStr">
        <is>
          <t>L/D：</t>
        </is>
      </c>
      <c r="V238" s="4" t="inlineStr">
        <is>
          <t>3L251007</t>
        </is>
      </c>
      <c r="W238" s="4" t="inlineStr">
        <is>
          <t>PE：</t>
        </is>
      </c>
      <c r="X238" s="5" t="inlineStr">
        <is>
          <t>PE250914</t>
        </is>
      </c>
      <c r="Y238" s="4" t="inlineStr">
        <is>
          <t>誕生月：</t>
        </is>
      </c>
      <c r="Z238" s="4" t="inlineStr">
        <is>
          <t>10</t>
        </is>
      </c>
      <c r="AA238" s="6" t="inlineStr">
        <is>
          <t>電話：</t>
        </is>
      </c>
      <c r="AB238" s="6" t="inlineStr">
        <is>
          <t>045-623-4595</t>
        </is>
      </c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>
        <is>
          <t>NTW005</t>
        </is>
      </c>
    </row>
    <row r="239">
      <c r="A239" s="1" t="inlineStr">
        <is>
          <t>67670-2</t>
        </is>
      </c>
      <c r="B239" s="1" t="inlineStr">
        <is>
          <t>KOBAYASHI NO</t>
        </is>
      </c>
      <c r="C239" s="1" t="inlineStr"/>
      <c r="D239" s="1" t="inlineStr">
        <is>
          <t>NTW005</t>
        </is>
      </c>
      <c r="E239" s="1" t="n"/>
      <c r="F239" s="7" t="inlineStr">
        <is>
          <t>01</t>
        </is>
      </c>
      <c r="G239" s="12" t="inlineStr">
        <is>
          <t>02</t>
        </is>
      </c>
      <c r="H239" s="12" t="inlineStr">
        <is>
          <t>03</t>
        </is>
      </c>
      <c r="I239" s="8" t="inlineStr">
        <is>
          <t>04</t>
        </is>
      </c>
      <c r="J239" s="8" t="inlineStr">
        <is>
          <t>05</t>
        </is>
      </c>
      <c r="K239" s="7" t="inlineStr">
        <is>
          <t>06</t>
        </is>
      </c>
      <c r="L239" s="7" t="inlineStr">
        <is>
          <t>07</t>
        </is>
      </c>
      <c r="M239" s="7" t="inlineStr">
        <is>
          <t>08</t>
        </is>
      </c>
      <c r="N239" s="7" t="inlineStr">
        <is>
          <t>09</t>
        </is>
      </c>
      <c r="O239" s="7" t="inlineStr">
        <is>
          <t>10</t>
        </is>
      </c>
      <c r="P239" s="7" t="inlineStr">
        <is>
          <t>11</t>
        </is>
      </c>
      <c r="Q239" s="7" t="inlineStr">
        <is>
          <t>12</t>
        </is>
      </c>
      <c r="R239" s="7" t="inlineStr">
        <is>
          <t>13</t>
        </is>
      </c>
      <c r="S239" s="7" t="inlineStr">
        <is>
          <t>14</t>
        </is>
      </c>
      <c r="T239" s="7" t="inlineStr">
        <is>
          <t>15</t>
        </is>
      </c>
      <c r="U239" s="7" t="inlineStr">
        <is>
          <t>16</t>
        </is>
      </c>
      <c r="V239" s="7" t="inlineStr">
        <is>
          <t>17</t>
        </is>
      </c>
      <c r="W239" s="7" t="inlineStr">
        <is>
          <t>18</t>
        </is>
      </c>
      <c r="X239" s="7" t="inlineStr">
        <is>
          <t>19</t>
        </is>
      </c>
      <c r="Y239" s="7" t="inlineStr">
        <is>
          <t>20</t>
        </is>
      </c>
      <c r="Z239" s="7" t="inlineStr">
        <is>
          <t>21</t>
        </is>
      </c>
      <c r="AA239" s="7" t="inlineStr">
        <is>
          <t>22</t>
        </is>
      </c>
      <c r="AB239" s="7" t="inlineStr">
        <is>
          <t>23</t>
        </is>
      </c>
      <c r="AC239" s="7" t="inlineStr">
        <is>
          <t>24</t>
        </is>
      </c>
      <c r="AD239" s="7" t="inlineStr">
        <is>
          <t>25</t>
        </is>
      </c>
      <c r="AE239" s="7" t="inlineStr">
        <is>
          <t>26</t>
        </is>
      </c>
      <c r="AF239" s="7" t="inlineStr">
        <is>
          <t>27</t>
        </is>
      </c>
      <c r="AG239" s="7" t="inlineStr">
        <is>
          <t>28</t>
        </is>
      </c>
      <c r="AH239" s="7" t="inlineStr">
        <is>
          <t>29</t>
        </is>
      </c>
      <c r="AI239" s="7" t="inlineStr">
        <is>
          <t>30</t>
        </is>
      </c>
      <c r="AJ239" s="7" t="inlineStr">
        <is>
          <t>31</t>
        </is>
      </c>
    </row>
    <row r="240">
      <c r="A240" s="1" t="inlineStr">
        <is>
          <t>67670-3</t>
        </is>
      </c>
      <c r="B240" s="1" t="inlineStr">
        <is>
          <t>KOBAYASHI NO</t>
        </is>
      </c>
      <c r="C240" s="1" t="inlineStr"/>
      <c r="D240" s="1" t="inlineStr">
        <is>
          <t>NTW005</t>
        </is>
      </c>
      <c r="E240" s="1" t="n"/>
      <c r="F240" s="9" t="inlineStr">
        <is>
          <t>H</t>
        </is>
      </c>
      <c r="G240" s="9" t="inlineStr">
        <is>
          <t>M21
TRN
#2
07:00-11:00</t>
        </is>
      </c>
      <c r="H240" s="9" t="inlineStr">
        <is>
          <t>M22
TRN
#1
19:00-23:00</t>
        </is>
      </c>
      <c r="I240" s="9" t="inlineStr">
        <is>
          <t>735
CMD ISR</t>
        </is>
      </c>
      <c r="J240" s="9" t="inlineStr">
        <is>
          <t>26
CMD ISR</t>
        </is>
      </c>
      <c r="K240" s="9" t="inlineStr">
        <is>
          <t>H</t>
        </is>
      </c>
      <c r="L240" s="9" t="inlineStr">
        <is>
          <t>VAC/SIK</t>
        </is>
      </c>
      <c r="M240" s="9" t="inlineStr">
        <is>
          <t>VAC/SIK</t>
        </is>
      </c>
      <c r="N240" s="9" t="inlineStr">
        <is>
          <t>H</t>
        </is>
      </c>
      <c r="O240" s="9" t="inlineStr">
        <is>
          <t>ISR
ISR
#1
15:00-19:00</t>
        </is>
      </c>
      <c r="P240" s="9" t="inlineStr">
        <is>
          <t>H</t>
        </is>
      </c>
      <c r="Q240" s="9" t="inlineStr">
        <is>
          <t>H</t>
        </is>
      </c>
      <c r="R240" s="9" t="inlineStr">
        <is>
          <t>SIK</t>
        </is>
      </c>
      <c r="S240" s="9" t="inlineStr">
        <is>
          <t>SIK</t>
        </is>
      </c>
      <c r="T240" s="9" t="inlineStr">
        <is>
          <t>SIK</t>
        </is>
      </c>
      <c r="U240" s="9" t="inlineStr">
        <is>
          <t>HH</t>
        </is>
      </c>
      <c r="V240" s="9" t="inlineStr">
        <is>
          <t>HH</t>
        </is>
      </c>
      <c r="W240" s="9" t="inlineStr">
        <is>
          <t>VACN</t>
        </is>
      </c>
      <c r="X240" s="9" t="inlineStr">
        <is>
          <t>SIK</t>
        </is>
      </c>
      <c r="Y240" s="9" t="inlineStr">
        <is>
          <t>SIK</t>
        </is>
      </c>
      <c r="Z240" s="9" t="inlineStr">
        <is>
          <t>SIK</t>
        </is>
      </c>
      <c r="AA240" s="9" t="inlineStr">
        <is>
          <t>SIK</t>
        </is>
      </c>
      <c r="AB240" s="9" t="inlineStr">
        <is>
          <t>SIK</t>
        </is>
      </c>
      <c r="AC240" s="9" t="inlineStr">
        <is>
          <t>H</t>
        </is>
      </c>
      <c r="AD240" s="9" t="inlineStr">
        <is>
          <t>87</t>
        </is>
      </c>
      <c r="AE240" s="9" t="inlineStr">
        <is>
          <t>88</t>
        </is>
      </c>
      <c r="AF240" s="9" t="inlineStr">
        <is>
          <t>H</t>
        </is>
      </c>
      <c r="AG240" s="9" t="inlineStr">
        <is>
          <t>H</t>
        </is>
      </c>
      <c r="AH240" s="9" t="inlineStr">
        <is>
          <t>GMT1</t>
        </is>
      </c>
      <c r="AI240" s="9" t="inlineStr">
        <is>
          <t>62</t>
        </is>
      </c>
      <c r="AJ240" s="9" t="inlineStr">
        <is>
          <t>---</t>
        </is>
      </c>
    </row>
    <row r="241">
      <c r="A241" s="1" t="inlineStr">
        <is>
          <t>67670-4</t>
        </is>
      </c>
      <c r="B241" s="1" t="inlineStr">
        <is>
          <t>KOBAYASHI NO</t>
        </is>
      </c>
      <c r="C241" s="1" t="inlineStr"/>
      <c r="D241" s="1" t="inlineStr">
        <is>
          <t>NTW005</t>
        </is>
      </c>
      <c r="E241" s="1" t="n"/>
      <c r="F241" s="9" t="inlineStr"/>
      <c r="G241" s="9" t="inlineStr">
        <is>
          <t>I木内KA</t>
        </is>
      </c>
      <c r="H241" s="9" t="inlineStr">
        <is>
          <t>I吉村 YA</t>
        </is>
      </c>
      <c r="I241" s="9" t="inlineStr">
        <is>
          <t>ISHIGUROKA</t>
        </is>
      </c>
      <c r="J241" s="9" t="inlineStr">
        <is>
          <t>ISHIGUROKA</t>
        </is>
      </c>
      <c r="K241" s="9" t="inlineStr"/>
      <c r="L241" s="9" t="inlineStr"/>
      <c r="M241" s="9" t="inlineStr"/>
      <c r="N241" s="9" t="inlineStr"/>
      <c r="O241" s="9" t="inlineStr">
        <is>
          <t>I吉村 YA</t>
        </is>
      </c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</row>
    <row r="242">
      <c r="A242" s="1" t="inlineStr">
        <is>
          <t>67670-5</t>
        </is>
      </c>
      <c r="B242" s="1" t="inlineStr">
        <is>
          <t>KOBAYASHI NO</t>
        </is>
      </c>
      <c r="C242" s="1" t="inlineStr"/>
      <c r="D242" s="1" t="inlineStr">
        <is>
          <t>NTW005</t>
        </is>
      </c>
      <c r="E242" s="1" t="n"/>
      <c r="F242" s="9" t="inlineStr"/>
      <c r="G242" s="9" t="inlineStr"/>
      <c r="H242" s="9">
        <f>HYPERLINK("#Schedule!F147", "T吉村MA (39670)")</f>
        <v/>
      </c>
      <c r="I242" s="9" t="inlineStr"/>
      <c r="J242" s="9" t="inlineStr"/>
      <c r="K242" s="9" t="inlineStr"/>
      <c r="L242" s="9" t="inlineStr"/>
      <c r="M242" s="9" t="inlineStr"/>
      <c r="N242" s="9" t="inlineStr"/>
      <c r="O242" s="11">
        <f>HYPERLINK("#Schedule!F269", "I永澤 TA (49245)")</f>
        <v/>
      </c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9" t="inlineStr"/>
      <c r="AG242" s="9" t="inlineStr"/>
      <c r="AH242" s="9" t="inlineStr"/>
      <c r="AI242" s="9" t="inlineStr"/>
      <c r="AJ242" s="9" t="inlineStr"/>
    </row>
    <row r="243">
      <c r="A243" s="1" t="inlineStr">
        <is>
          <t>37255-1</t>
        </is>
      </c>
      <c r="B243" s="1" t="inlineStr">
        <is>
          <t>YAMAZAKI KE</t>
        </is>
      </c>
      <c r="C243" s="1" t="inlineStr"/>
      <c r="D243" s="1" t="inlineStr">
        <is>
          <t>NTW005</t>
        </is>
      </c>
      <c r="E243" s="1" t="n"/>
      <c r="F243" s="4" t="inlineStr">
        <is>
          <t>山崎 KE</t>
        </is>
      </c>
      <c r="G243" s="4" t="inlineStr">
        <is>
          <t>KE</t>
        </is>
      </c>
      <c r="H243" s="4" t="inlineStr">
        <is>
          <t>機種：</t>
        </is>
      </c>
      <c r="I243" s="4" t="inlineStr">
        <is>
          <t>787</t>
        </is>
      </c>
      <c r="J243" s="4" t="inlineStr">
        <is>
          <t>ランク：</t>
        </is>
      </c>
      <c r="K243" s="4" t="inlineStr">
        <is>
          <t>CAP</t>
        </is>
      </c>
      <c r="L243" s="4" t="inlineStr">
        <is>
          <t>期：</t>
        </is>
      </c>
      <c r="M243" s="4" t="inlineStr">
        <is>
          <t>職番：</t>
        </is>
      </c>
      <c r="N243" s="4" t="inlineStr">
        <is>
          <t>00037255</t>
        </is>
      </c>
      <c r="O243" s="4" t="inlineStr">
        <is>
          <t>所属：</t>
        </is>
      </c>
      <c r="P243" s="4" t="inlineStr">
        <is>
          <t>NTZNT</t>
        </is>
      </c>
      <c r="Q243" s="4" t="inlineStr">
        <is>
          <t>CAT資：</t>
        </is>
      </c>
      <c r="R243" s="4" t="inlineStr">
        <is>
          <t>CAT3</t>
        </is>
      </c>
      <c r="S243" s="4" t="inlineStr">
        <is>
          <t>T/O：</t>
        </is>
      </c>
      <c r="T243" s="4" t="inlineStr">
        <is>
          <t>3T250928</t>
        </is>
      </c>
      <c r="U243" s="4" t="inlineStr">
        <is>
          <t>L/D：</t>
        </is>
      </c>
      <c r="V243" s="4" t="inlineStr">
        <is>
          <t>3L250928</t>
        </is>
      </c>
      <c r="W243" s="4" t="inlineStr">
        <is>
          <t>PE：</t>
        </is>
      </c>
      <c r="X243" s="5" t="inlineStr">
        <is>
          <t>PE250825</t>
        </is>
      </c>
      <c r="Y243" s="4" t="inlineStr">
        <is>
          <t>誕生月：</t>
        </is>
      </c>
      <c r="Z243" s="4" t="inlineStr">
        <is>
          <t>03</t>
        </is>
      </c>
      <c r="AA243" s="6" t="inlineStr">
        <is>
          <t>電話：</t>
        </is>
      </c>
      <c r="AB243" s="6" t="inlineStr">
        <is>
          <t>03-6677-3799</t>
        </is>
      </c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>
        <is>
          <t>NTW005</t>
        </is>
      </c>
    </row>
    <row r="244">
      <c r="A244" s="1" t="inlineStr">
        <is>
          <t>37255-2</t>
        </is>
      </c>
      <c r="B244" s="1" t="inlineStr">
        <is>
          <t>YAMAZAKI KE</t>
        </is>
      </c>
      <c r="C244" s="1" t="inlineStr"/>
      <c r="D244" s="1" t="inlineStr">
        <is>
          <t>NTW005</t>
        </is>
      </c>
      <c r="E244" s="1" t="n"/>
      <c r="F244" s="7" t="inlineStr">
        <is>
          <t>01</t>
        </is>
      </c>
      <c r="G244" s="7" t="inlineStr">
        <is>
          <t>02</t>
        </is>
      </c>
      <c r="H244" s="7" t="inlineStr">
        <is>
          <t>03</t>
        </is>
      </c>
      <c r="I244" s="7" t="inlineStr">
        <is>
          <t>04</t>
        </is>
      </c>
      <c r="J244" s="7" t="inlineStr">
        <is>
          <t>05</t>
        </is>
      </c>
      <c r="K244" s="7" t="inlineStr">
        <is>
          <t>06</t>
        </is>
      </c>
      <c r="L244" s="7" t="inlineStr">
        <is>
          <t>07</t>
        </is>
      </c>
      <c r="M244" s="13" t="inlineStr">
        <is>
          <t>08</t>
        </is>
      </c>
      <c r="N244" s="7" t="inlineStr">
        <is>
          <t>09</t>
        </is>
      </c>
      <c r="O244" s="7" t="inlineStr">
        <is>
          <t>10</t>
        </is>
      </c>
      <c r="P244" s="7" t="inlineStr">
        <is>
          <t>11</t>
        </is>
      </c>
      <c r="Q244" s="8" t="inlineStr">
        <is>
          <t>12</t>
        </is>
      </c>
      <c r="R244" s="7" t="inlineStr">
        <is>
          <t>13</t>
        </is>
      </c>
      <c r="S244" s="8" t="inlineStr">
        <is>
          <t>14</t>
        </is>
      </c>
      <c r="T244" s="7" t="inlineStr">
        <is>
          <t>15</t>
        </is>
      </c>
      <c r="U244" s="7" t="inlineStr">
        <is>
          <t>16</t>
        </is>
      </c>
      <c r="V244" s="8" t="inlineStr">
        <is>
          <t>17</t>
        </is>
      </c>
      <c r="W244" s="8" t="inlineStr">
        <is>
          <t>18</t>
        </is>
      </c>
      <c r="X244" s="7" t="inlineStr">
        <is>
          <t>19</t>
        </is>
      </c>
      <c r="Y244" s="7" t="inlineStr">
        <is>
          <t>20</t>
        </is>
      </c>
      <c r="Z244" s="7" t="inlineStr">
        <is>
          <t>21</t>
        </is>
      </c>
      <c r="AA244" s="7" t="inlineStr">
        <is>
          <t>22</t>
        </is>
      </c>
      <c r="AB244" s="7" t="inlineStr">
        <is>
          <t>23</t>
        </is>
      </c>
      <c r="AC244" s="7" t="inlineStr">
        <is>
          <t>24</t>
        </is>
      </c>
      <c r="AD244" s="7" t="inlineStr">
        <is>
          <t>25</t>
        </is>
      </c>
      <c r="AE244" s="7" t="inlineStr">
        <is>
          <t>26</t>
        </is>
      </c>
      <c r="AF244" s="8" t="inlineStr">
        <is>
          <t>27</t>
        </is>
      </c>
      <c r="AG244" s="8" t="inlineStr">
        <is>
          <t>28</t>
        </is>
      </c>
      <c r="AH244" s="7" t="inlineStr">
        <is>
          <t>29</t>
        </is>
      </c>
      <c r="AI244" s="7" t="inlineStr">
        <is>
          <t>30</t>
        </is>
      </c>
      <c r="AJ244" s="7" t="inlineStr">
        <is>
          <t>31</t>
        </is>
      </c>
    </row>
    <row r="245">
      <c r="A245" s="1" t="inlineStr">
        <is>
          <t>37255-3</t>
        </is>
      </c>
      <c r="B245" s="1" t="inlineStr">
        <is>
          <t>YAMAZAKI KE</t>
        </is>
      </c>
      <c r="C245" s="1" t="inlineStr"/>
      <c r="D245" s="1" t="inlineStr">
        <is>
          <t>NTW005</t>
        </is>
      </c>
      <c r="E245" s="1" t="n"/>
      <c r="F245" s="9" t="inlineStr">
        <is>
          <t>119
124
139</t>
        </is>
      </c>
      <c r="G245" s="9" t="inlineStr">
        <is>
          <t>116
125
128</t>
        </is>
      </c>
      <c r="H245" s="9" t="inlineStr">
        <is>
          <t>HH</t>
        </is>
      </c>
      <c r="I245" s="9" t="inlineStr">
        <is>
          <t>CMD
ISR
#2
19:00-21:00</t>
        </is>
      </c>
      <c r="J245" s="9" t="inlineStr">
        <is>
          <t>H</t>
        </is>
      </c>
      <c r="K245" s="9" t="inlineStr">
        <is>
          <t>SX</t>
        </is>
      </c>
      <c r="L245" s="9" t="inlineStr">
        <is>
          <t>RF</t>
        </is>
      </c>
      <c r="M245" s="9" t="inlineStr">
        <is>
          <t>EDU
PH TRN</t>
        </is>
      </c>
      <c r="N245" s="9" t="inlineStr">
        <is>
          <t>H</t>
        </is>
      </c>
      <c r="O245" s="9" t="inlineStr">
        <is>
          <t>H</t>
        </is>
      </c>
      <c r="P245" s="9" t="inlineStr">
        <is>
          <t>PE
PE TRN
PE
PE TRN</t>
        </is>
      </c>
      <c r="Q245" s="9" t="inlineStr">
        <is>
          <t>707
CMD ISR</t>
        </is>
      </c>
      <c r="R245" s="9" t="inlineStr">
        <is>
          <t>---</t>
        </is>
      </c>
      <c r="S245" s="9" t="inlineStr">
        <is>
          <t>728
CMD ISR
224DH</t>
        </is>
      </c>
      <c r="T245" s="9" t="inlineStr">
        <is>
          <t>*H</t>
        </is>
      </c>
      <c r="U245" s="9" t="inlineStr">
        <is>
          <t>H</t>
        </is>
      </c>
      <c r="V245" s="9" t="inlineStr">
        <is>
          <t>87
ISRE TRN
87
CMD ISR</t>
        </is>
      </c>
      <c r="W245" s="9" t="inlineStr">
        <is>
          <t>88
CMD ISR
88
ISRE TRN</t>
        </is>
      </c>
      <c r="X245" s="9" t="inlineStr">
        <is>
          <t>H</t>
        </is>
      </c>
      <c r="Y245" s="9" t="inlineStr">
        <is>
          <t>773</t>
        </is>
      </c>
      <c r="Z245" s="9" t="inlineStr">
        <is>
          <t>---</t>
        </is>
      </c>
      <c r="AA245" s="9" t="inlineStr">
        <is>
          <t>---</t>
        </is>
      </c>
      <c r="AB245" s="9" t="inlineStr">
        <is>
          <t>774</t>
        </is>
      </c>
      <c r="AC245" s="9" t="inlineStr">
        <is>
          <t>H</t>
        </is>
      </c>
      <c r="AD245" s="9" t="inlineStr">
        <is>
          <t>H</t>
        </is>
      </c>
      <c r="AE245" s="9" t="inlineStr">
        <is>
          <t>R</t>
        </is>
      </c>
      <c r="AF245" s="9" t="inlineStr">
        <is>
          <t>99
LEF ISR</t>
        </is>
      </c>
      <c r="AG245" s="9" t="inlineStr">
        <is>
          <t>96
LEF ISR</t>
        </is>
      </c>
      <c r="AH245" s="9" t="inlineStr">
        <is>
          <t>GMT1</t>
        </is>
      </c>
      <c r="AI245" s="9" t="inlineStr">
        <is>
          <t>HH</t>
        </is>
      </c>
      <c r="AJ245" s="9" t="inlineStr">
        <is>
          <t>PH3
ISR</t>
        </is>
      </c>
    </row>
    <row r="246">
      <c r="A246" s="1" t="inlineStr">
        <is>
          <t>37255-4</t>
        </is>
      </c>
      <c r="B246" s="1" t="inlineStr">
        <is>
          <t>YAMAZAKI KE</t>
        </is>
      </c>
      <c r="C246" s="1" t="inlineStr"/>
      <c r="D246" s="1" t="inlineStr">
        <is>
          <t>NTW005</t>
        </is>
      </c>
      <c r="E246" s="1" t="n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9" t="inlineStr"/>
      <c r="Q246" s="9">
        <f>HYPERLINK("#Schedule!F437", "HAYASHIKA (48991)")</f>
        <v/>
      </c>
      <c r="R246" s="9" t="inlineStr"/>
      <c r="S246" s="9">
        <f>HYPERLINK("#Schedule!F437", "HAYASHIKA (48991)")</f>
        <v/>
      </c>
      <c r="T246" s="9" t="inlineStr"/>
      <c r="U246" s="9" t="inlineStr"/>
      <c r="V246" s="9">
        <f>HYPERLINK("#Schedule!F133", "岡 HD (36149)")</f>
        <v/>
      </c>
      <c r="W246" s="9">
        <f>HYPERLINK("#Schedule!F133", "岡 HD (36149)")</f>
        <v/>
      </c>
      <c r="X246" s="9" t="inlineStr"/>
      <c r="Y246" s="9" t="inlineStr"/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</row>
    <row r="247">
      <c r="A247" s="1" t="inlineStr">
        <is>
          <t>37255-5</t>
        </is>
      </c>
      <c r="B247" s="1" t="inlineStr">
        <is>
          <t>YAMAZAKI KE</t>
        </is>
      </c>
      <c r="C247" s="1" t="inlineStr"/>
      <c r="D247" s="1" t="inlineStr">
        <is>
          <t>NTW005</t>
        </is>
      </c>
      <c r="E247" s="1" t="n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/>
      <c r="U247" s="9" t="inlineStr"/>
      <c r="V247" s="9">
        <f>HYPERLINK("#Schedule!F383", "SEKIYO (53828)")</f>
        <v/>
      </c>
      <c r="W247" s="9">
        <f>HYPERLINK("#Schedule!F383", "SEKIYO (53828)")</f>
        <v/>
      </c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9" t="inlineStr"/>
      <c r="AG247" s="9" t="inlineStr"/>
      <c r="AH247" s="9" t="inlineStr"/>
      <c r="AI247" s="9" t="inlineStr"/>
      <c r="AJ247" s="9" t="inlineStr"/>
    </row>
    <row r="248">
      <c r="A248" s="1" t="inlineStr">
        <is>
          <t>38561-1</t>
        </is>
      </c>
      <c r="B248" s="1" t="inlineStr">
        <is>
          <t>SAITO SN</t>
        </is>
      </c>
      <c r="C248" s="1" t="inlineStr"/>
      <c r="D248" s="1" t="inlineStr">
        <is>
          <t>NTW005</t>
        </is>
      </c>
      <c r="E248" s="1" t="n"/>
      <c r="F248" s="4" t="inlineStr">
        <is>
          <t>齊藤 SN</t>
        </is>
      </c>
      <c r="G248" s="4" t="inlineStr">
        <is>
          <t>SN</t>
        </is>
      </c>
      <c r="H248" s="4" t="inlineStr">
        <is>
          <t>機種：</t>
        </is>
      </c>
      <c r="I248" s="4" t="inlineStr">
        <is>
          <t>787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00038561</t>
        </is>
      </c>
      <c r="O248" s="4" t="inlineStr">
        <is>
          <t>所属：</t>
        </is>
      </c>
      <c r="P248" s="4" t="inlineStr">
        <is>
          <t>NTZNT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3T250919</t>
        </is>
      </c>
      <c r="U248" s="4" t="inlineStr">
        <is>
          <t>L/D：</t>
        </is>
      </c>
      <c r="V248" s="4" t="inlineStr">
        <is>
          <t>3L250919</t>
        </is>
      </c>
      <c r="W248" s="4" t="inlineStr">
        <is>
          <t>PE：</t>
        </is>
      </c>
      <c r="X248" s="5" t="inlineStr">
        <is>
          <t>PE251016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03-5422-6732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NTW005</t>
        </is>
      </c>
    </row>
    <row r="249">
      <c r="A249" s="1" t="inlineStr">
        <is>
          <t>38561-2</t>
        </is>
      </c>
      <c r="B249" s="1" t="inlineStr">
        <is>
          <t>SAITO SN</t>
        </is>
      </c>
      <c r="C249" s="1" t="inlineStr"/>
      <c r="D249" s="1" t="inlineStr">
        <is>
          <t>NTW005</t>
        </is>
      </c>
      <c r="E249" s="1" t="n"/>
      <c r="F249" s="7" t="inlineStr">
        <is>
          <t>01</t>
        </is>
      </c>
      <c r="G249" s="7" t="inlineStr">
        <is>
          <t>02</t>
        </is>
      </c>
      <c r="H249" s="8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8" t="inlineStr">
        <is>
          <t>07</t>
        </is>
      </c>
      <c r="M249" s="8" t="inlineStr">
        <is>
          <t>08</t>
        </is>
      </c>
      <c r="N249" s="7" t="inlineStr">
        <is>
          <t>09</t>
        </is>
      </c>
      <c r="O249" s="8" t="inlineStr">
        <is>
          <t>10</t>
        </is>
      </c>
      <c r="P249" s="8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8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8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7" t="inlineStr">
        <is>
          <t>21</t>
        </is>
      </c>
      <c r="AA249" s="10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38561-3</t>
        </is>
      </c>
      <c r="B250" s="1" t="inlineStr">
        <is>
          <t>SAITO SN</t>
        </is>
      </c>
      <c r="C250" s="1" t="inlineStr"/>
      <c r="D250" s="1" t="inlineStr">
        <is>
          <t>NTW005</t>
        </is>
      </c>
      <c r="E250" s="1" t="n"/>
      <c r="F250" s="9" t="inlineStr">
        <is>
          <t>H</t>
        </is>
      </c>
      <c r="G250" s="9" t="inlineStr">
        <is>
          <t>H</t>
        </is>
      </c>
      <c r="H250" s="9" t="inlineStr">
        <is>
          <t>81
CMD ISR
82
CMD ISR</t>
        </is>
      </c>
      <c r="I250" s="9" t="inlineStr">
        <is>
          <t>CAT3
ISR
#2
21:00-23:00</t>
        </is>
      </c>
      <c r="J250" s="9" t="inlineStr">
        <is>
          <t>H</t>
        </is>
      </c>
      <c r="K250" s="9" t="inlineStr">
        <is>
          <t>SX</t>
        </is>
      </c>
      <c r="L250" s="9" t="inlineStr">
        <is>
          <t>25
CFM ISR</t>
        </is>
      </c>
      <c r="M250" s="9" t="inlineStr">
        <is>
          <t>20
CFM ISR</t>
        </is>
      </c>
      <c r="N250" s="9" t="inlineStr">
        <is>
          <t>H</t>
        </is>
      </c>
      <c r="O250" s="9" t="inlineStr">
        <is>
          <t>505
CAUG ISR
506
CAUG ISR
517
CAUG ISR</t>
        </is>
      </c>
      <c r="P250" s="9" t="inlineStr">
        <is>
          <t>516
CAUG ISR
527
CAUG ISR
528
CAUG ISR</t>
        </is>
      </c>
      <c r="Q250" s="9" t="inlineStr">
        <is>
          <t>H</t>
        </is>
      </c>
      <c r="R250" s="9" t="inlineStr">
        <is>
          <t>H</t>
        </is>
      </c>
      <c r="S250" s="9" t="inlineStr">
        <is>
          <t>97
CFM ISR
98
CFM ISR</t>
        </is>
      </c>
      <c r="T250" s="9" t="inlineStr">
        <is>
          <t>RF</t>
        </is>
      </c>
      <c r="U250" s="9" t="inlineStr">
        <is>
          <t>H</t>
        </is>
      </c>
      <c r="V250" s="9" t="inlineStr">
        <is>
          <t>517
CAUG ISR</t>
        </is>
      </c>
      <c r="W250" s="9" t="inlineStr">
        <is>
          <t>516
CAUG ISR
527
CAUG ISR
528
CAUG ISR</t>
        </is>
      </c>
      <c r="X250" s="9" t="inlineStr">
        <is>
          <t>H</t>
        </is>
      </c>
      <c r="Y250" s="9" t="inlineStr">
        <is>
          <t>MTG1</t>
        </is>
      </c>
      <c r="Z250" s="9" t="inlineStr">
        <is>
          <t>MTG1</t>
        </is>
      </c>
      <c r="AA250" s="9" t="inlineStr">
        <is>
          <t>M22
ISR
#2
17:00-21:00</t>
        </is>
      </c>
      <c r="AB250" s="9" t="inlineStr">
        <is>
          <t>H</t>
        </is>
      </c>
      <c r="AC250" s="9" t="inlineStr">
        <is>
          <t>H</t>
        </is>
      </c>
      <c r="AD250" s="9" t="inlineStr">
        <is>
          <t>R</t>
        </is>
      </c>
      <c r="AE250" s="9" t="inlineStr">
        <is>
          <t>R</t>
        </is>
      </c>
      <c r="AF250" s="9" t="inlineStr">
        <is>
          <t>R_</t>
        </is>
      </c>
      <c r="AG250" s="9" t="inlineStr">
        <is>
          <t>H</t>
        </is>
      </c>
      <c r="AH250" s="9" t="inlineStr">
        <is>
          <t>GMT1</t>
        </is>
      </c>
      <c r="AI250" s="9" t="inlineStr">
        <is>
          <t>R</t>
        </is>
      </c>
      <c r="AJ250" s="9" t="inlineStr">
        <is>
          <t>8786</t>
        </is>
      </c>
    </row>
    <row r="251">
      <c r="A251" s="1" t="inlineStr">
        <is>
          <t>38561-4</t>
        </is>
      </c>
      <c r="B251" s="1" t="inlineStr">
        <is>
          <t>SAITO SN</t>
        </is>
      </c>
      <c r="C251" s="1" t="inlineStr"/>
      <c r="D251" s="1" t="inlineStr">
        <is>
          <t>NTW005</t>
        </is>
      </c>
      <c r="E251" s="1" t="n"/>
      <c r="F251" s="9" t="inlineStr"/>
      <c r="G251" s="9" t="inlineStr"/>
      <c r="H251" s="9" t="inlineStr">
        <is>
          <t>TAKAGIHI</t>
        </is>
      </c>
      <c r="I251" s="9" t="inlineStr"/>
      <c r="J251" s="9" t="inlineStr"/>
      <c r="K251" s="9" t="inlineStr"/>
      <c r="L251" s="9" t="inlineStr"/>
      <c r="M251" s="9" t="inlineStr"/>
      <c r="N251" s="9" t="inlineStr"/>
      <c r="O251" s="9">
        <f>HYPERLINK("#Schedule!F374", "NAKAITO (53882)")</f>
        <v/>
      </c>
      <c r="P251" s="9">
        <f>HYPERLINK("#Schedule!F374", "NAKAITO (53882)")</f>
        <v/>
      </c>
      <c r="Q251" s="9" t="inlineStr"/>
      <c r="R251" s="9" t="inlineStr"/>
      <c r="S251" s="9" t="inlineStr"/>
      <c r="T251" s="9" t="inlineStr"/>
      <c r="U251" s="9" t="inlineStr"/>
      <c r="V251" s="9">
        <f>HYPERLINK("#Schedule!F320", "OTAKA (38601)")</f>
        <v/>
      </c>
      <c r="W251" s="9">
        <f>HYPERLINK("#Schedule!F320", "OTAKA (38601)")</f>
        <v/>
      </c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</row>
    <row r="252">
      <c r="A252" s="1" t="inlineStr">
        <is>
          <t>40785-1</t>
        </is>
      </c>
      <c r="B252" s="1" t="inlineStr">
        <is>
          <t>TOYAMA TE</t>
        </is>
      </c>
      <c r="C252" s="1" t="inlineStr"/>
      <c r="D252" s="1" t="inlineStr">
        <is>
          <t>NTW005</t>
        </is>
      </c>
      <c r="E252" s="1" t="n"/>
      <c r="F252" s="4" t="inlineStr">
        <is>
          <t>外山 TE</t>
        </is>
      </c>
      <c r="G252" s="4" t="inlineStr">
        <is>
          <t>TE</t>
        </is>
      </c>
      <c r="H252" s="4" t="inlineStr">
        <is>
          <t>機種：</t>
        </is>
      </c>
      <c r="I252" s="4" t="inlineStr">
        <is>
          <t>787</t>
        </is>
      </c>
      <c r="J252" s="4" t="inlineStr">
        <is>
          <t>ランク：</t>
        </is>
      </c>
      <c r="K252" s="4" t="inlineStr">
        <is>
          <t>CAP</t>
        </is>
      </c>
      <c r="L252" s="4" t="inlineStr">
        <is>
          <t>期：</t>
        </is>
      </c>
      <c r="M252" s="4" t="inlineStr">
        <is>
          <t>職番：</t>
        </is>
      </c>
      <c r="N252" s="4" t="inlineStr">
        <is>
          <t>00040785</t>
        </is>
      </c>
      <c r="O252" s="4" t="inlineStr">
        <is>
          <t>所属：</t>
        </is>
      </c>
      <c r="P252" s="4" t="inlineStr">
        <is>
          <t>NTZNT</t>
        </is>
      </c>
      <c r="Q252" s="4" t="inlineStr">
        <is>
          <t>CAT資：</t>
        </is>
      </c>
      <c r="R252" s="4" t="inlineStr">
        <is>
          <t>CAT3</t>
        </is>
      </c>
      <c r="S252" s="4" t="inlineStr">
        <is>
          <t>T/O：</t>
        </is>
      </c>
      <c r="T252" s="4" t="inlineStr">
        <is>
          <t>3T250924</t>
        </is>
      </c>
      <c r="U252" s="4" t="inlineStr">
        <is>
          <t>L/D：</t>
        </is>
      </c>
      <c r="V252" s="4" t="inlineStr">
        <is>
          <t>3L250924</t>
        </is>
      </c>
      <c r="W252" s="4" t="inlineStr">
        <is>
          <t>PE：</t>
        </is>
      </c>
      <c r="X252" s="5" t="inlineStr">
        <is>
          <t>PE260613</t>
        </is>
      </c>
      <c r="Y252" s="4" t="inlineStr">
        <is>
          <t>誕生月：</t>
        </is>
      </c>
      <c r="Z252" s="4" t="inlineStr">
        <is>
          <t>03</t>
        </is>
      </c>
      <c r="AA252" s="6" t="inlineStr">
        <is>
          <t>電話：</t>
        </is>
      </c>
      <c r="AB252" s="6" t="inlineStr">
        <is>
          <t>043-461-3531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>
        <is>
          <t>NTW005</t>
        </is>
      </c>
    </row>
    <row r="253">
      <c r="A253" s="1" t="inlineStr">
        <is>
          <t>40785-2</t>
        </is>
      </c>
      <c r="B253" s="1" t="inlineStr">
        <is>
          <t>TOYAMA TE</t>
        </is>
      </c>
      <c r="C253" s="1" t="inlineStr"/>
      <c r="D253" s="1" t="inlineStr">
        <is>
          <t>NTW005</t>
        </is>
      </c>
      <c r="E253" s="1" t="n"/>
      <c r="F253" s="7" t="inlineStr">
        <is>
          <t>01</t>
        </is>
      </c>
      <c r="G253" s="7" t="inlineStr">
        <is>
          <t>02</t>
        </is>
      </c>
      <c r="H253" s="7" t="inlineStr">
        <is>
          <t>03</t>
        </is>
      </c>
      <c r="I253" s="7" t="inlineStr">
        <is>
          <t>04</t>
        </is>
      </c>
      <c r="J253" s="7" t="inlineStr">
        <is>
          <t>05</t>
        </is>
      </c>
      <c r="K253" s="7" t="inlineStr">
        <is>
          <t>06</t>
        </is>
      </c>
      <c r="L253" s="7" t="inlineStr">
        <is>
          <t>07</t>
        </is>
      </c>
      <c r="M253" s="7" t="inlineStr">
        <is>
          <t>08</t>
        </is>
      </c>
      <c r="N253" s="8" t="inlineStr">
        <is>
          <t>09</t>
        </is>
      </c>
      <c r="O253" s="8" t="inlineStr">
        <is>
          <t>10</t>
        </is>
      </c>
      <c r="P253" s="7" t="inlineStr">
        <is>
          <t>11</t>
        </is>
      </c>
      <c r="Q253" s="7" t="inlineStr">
        <is>
          <t>12</t>
        </is>
      </c>
      <c r="R253" s="8" t="inlineStr">
        <is>
          <t>13</t>
        </is>
      </c>
      <c r="S253" s="8" t="inlineStr">
        <is>
          <t>14</t>
        </is>
      </c>
      <c r="T253" s="7" t="inlineStr">
        <is>
          <t>15</t>
        </is>
      </c>
      <c r="U253" s="8" t="inlineStr">
        <is>
          <t>16</t>
        </is>
      </c>
      <c r="V253" s="8" t="inlineStr">
        <is>
          <t>17</t>
        </is>
      </c>
      <c r="W253" s="7" t="inlineStr">
        <is>
          <t>18</t>
        </is>
      </c>
      <c r="X253" s="7" t="inlineStr">
        <is>
          <t>19</t>
        </is>
      </c>
      <c r="Y253" s="10" t="inlineStr">
        <is>
          <t>20</t>
        </is>
      </c>
      <c r="Z253" s="7" t="inlineStr">
        <is>
          <t>21</t>
        </is>
      </c>
      <c r="AA253" s="7" t="inlineStr">
        <is>
          <t>22</t>
        </is>
      </c>
      <c r="AB253" s="7" t="inlineStr">
        <is>
          <t>23</t>
        </is>
      </c>
      <c r="AC253" s="7" t="inlineStr">
        <is>
          <t>24</t>
        </is>
      </c>
      <c r="AD253" s="7" t="inlineStr">
        <is>
          <t>25</t>
        </is>
      </c>
      <c r="AE253" s="7" t="inlineStr">
        <is>
          <t>26</t>
        </is>
      </c>
      <c r="AF253" s="7" t="inlineStr">
        <is>
          <t>27</t>
        </is>
      </c>
      <c r="AG253" s="7" t="inlineStr">
        <is>
          <t>28</t>
        </is>
      </c>
      <c r="AH253" s="7" t="inlineStr">
        <is>
          <t>29</t>
        </is>
      </c>
      <c r="AI253" s="7" t="inlineStr">
        <is>
          <t>30</t>
        </is>
      </c>
      <c r="AJ253" s="7" t="inlineStr">
        <is>
          <t>31</t>
        </is>
      </c>
    </row>
    <row r="254">
      <c r="A254" s="1" t="inlineStr">
        <is>
          <t>40785-3</t>
        </is>
      </c>
      <c r="B254" s="1" t="inlineStr">
        <is>
          <t>TOYAMA TE</t>
        </is>
      </c>
      <c r="C254" s="1" t="inlineStr"/>
      <c r="D254" s="1" t="inlineStr">
        <is>
          <t>NTW005</t>
        </is>
      </c>
      <c r="E254" s="1" t="n"/>
      <c r="F254" s="9" t="inlineStr">
        <is>
          <t>23
24</t>
        </is>
      </c>
      <c r="G254" s="9" t="inlineStr">
        <is>
          <t>HH</t>
        </is>
      </c>
      <c r="H254" s="9" t="inlineStr">
        <is>
          <t>209DH</t>
        </is>
      </c>
      <c r="I254" s="9" t="inlineStr">
        <is>
          <t>794</t>
        </is>
      </c>
      <c r="J254" s="9" t="inlineStr">
        <is>
          <t>---</t>
        </is>
      </c>
      <c r="K254" s="9" t="inlineStr">
        <is>
          <t>8785</t>
        </is>
      </c>
      <c r="L254" s="9" t="inlineStr">
        <is>
          <t>H</t>
        </is>
      </c>
      <c r="M254" s="9" t="inlineStr">
        <is>
          <t>H</t>
        </is>
      </c>
      <c r="N254" s="9" t="inlineStr">
        <is>
          <t>735
CAUG ISR</t>
        </is>
      </c>
      <c r="O254" s="9" t="inlineStr">
        <is>
          <t>26
CAUG ISR</t>
        </is>
      </c>
      <c r="P254" s="9" t="inlineStr">
        <is>
          <t>BLK</t>
        </is>
      </c>
      <c r="Q254" s="9" t="inlineStr">
        <is>
          <t>RF</t>
        </is>
      </c>
      <c r="R254" s="9" t="inlineStr">
        <is>
          <t>87
CMD ISR</t>
        </is>
      </c>
      <c r="S254" s="9" t="inlineStr">
        <is>
          <t>88
CMD ISR</t>
        </is>
      </c>
      <c r="T254" s="9" t="inlineStr">
        <is>
          <t>RF</t>
        </is>
      </c>
      <c r="U254" s="9" t="inlineStr">
        <is>
          <t>305
CMD ISR
308
CMD ISR
515
CMD ISR</t>
        </is>
      </c>
      <c r="V254" s="9" t="inlineStr">
        <is>
          <t>514
CMD ISR
329
CMD ISR
332
CMD ISR</t>
        </is>
      </c>
      <c r="W254" s="9" t="inlineStr">
        <is>
          <t>BLK</t>
        </is>
      </c>
      <c r="X254" s="9" t="inlineStr">
        <is>
          <t>H</t>
        </is>
      </c>
      <c r="Y254" s="9" t="inlineStr">
        <is>
          <t>M22
ISR
#1
19:00-23:00</t>
        </is>
      </c>
      <c r="Z254" s="9" t="inlineStr">
        <is>
          <t>66</t>
        </is>
      </c>
      <c r="AA254" s="9" t="inlineStr">
        <is>
          <t>---</t>
        </is>
      </c>
      <c r="AB254" s="9" t="inlineStr">
        <is>
          <t>---</t>
        </is>
      </c>
      <c r="AC254" s="9" t="inlineStr">
        <is>
          <t>65</t>
        </is>
      </c>
      <c r="AD254" s="9" t="inlineStr">
        <is>
          <t>H/VAC</t>
        </is>
      </c>
      <c r="AE254" s="9" t="inlineStr">
        <is>
          <t>H</t>
        </is>
      </c>
      <c r="AF254" s="9" t="inlineStr">
        <is>
          <t>HH</t>
        </is>
      </c>
      <c r="AG254" s="9" t="inlineStr">
        <is>
          <t>HH</t>
        </is>
      </c>
      <c r="AH254" s="9" t="inlineStr">
        <is>
          <t>GMT1</t>
        </is>
      </c>
      <c r="AI254" s="9" t="inlineStr">
        <is>
          <t>R</t>
        </is>
      </c>
      <c r="AJ254" s="9" t="inlineStr">
        <is>
          <t>R</t>
        </is>
      </c>
    </row>
    <row r="255">
      <c r="A255" s="1" t="inlineStr">
        <is>
          <t>40785-4</t>
        </is>
      </c>
      <c r="B255" s="1" t="inlineStr">
        <is>
          <t>TOYAMA TE</t>
        </is>
      </c>
      <c r="C255" s="1" t="inlineStr"/>
      <c r="D255" s="1" t="inlineStr">
        <is>
          <t>NTW005</t>
        </is>
      </c>
      <c r="E255" s="1" t="n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>
        <f>HYPERLINK("#Schedule!F346", "KOIZUMIKE (53825)")</f>
        <v/>
      </c>
      <c r="O255" s="9">
        <f>HYPERLINK("#Schedule!F346", "KOIZUMIKE (53825)")</f>
        <v/>
      </c>
      <c r="P255" s="9" t="inlineStr"/>
      <c r="Q255" s="9" t="inlineStr"/>
      <c r="R255" s="9" t="inlineStr">
        <is>
          <t>IWASAKIKA</t>
        </is>
      </c>
      <c r="S255" s="9" t="inlineStr">
        <is>
          <t>IWASAKIKA</t>
        </is>
      </c>
      <c r="T255" s="9" t="inlineStr"/>
      <c r="U255" s="9" t="inlineStr">
        <is>
          <t>TAKAGIHI</t>
        </is>
      </c>
      <c r="V255" s="9" t="inlineStr">
        <is>
          <t>TAKAGIHI</t>
        </is>
      </c>
      <c r="W255" s="9" t="inlineStr"/>
      <c r="X255" s="9" t="inlineStr"/>
      <c r="Y255" s="9" t="inlineStr"/>
      <c r="Z255" s="9" t="inlineStr"/>
      <c r="AA255" s="9" t="inlineStr"/>
      <c r="AB255" s="9" t="inlineStr"/>
      <c r="AC255" s="9" t="inlineStr"/>
      <c r="AD255" s="9" t="inlineStr"/>
      <c r="AE255" s="9" t="inlineStr"/>
      <c r="AF255" s="9" t="inlineStr"/>
      <c r="AG255" s="9" t="inlineStr"/>
      <c r="AH255" s="9" t="inlineStr"/>
      <c r="AI255" s="9" t="inlineStr"/>
      <c r="AJ255" s="9" t="inlineStr"/>
    </row>
    <row r="256">
      <c r="A256" s="1" t="inlineStr">
        <is>
          <t>40590-1</t>
        </is>
      </c>
      <c r="B256" s="1" t="inlineStr">
        <is>
          <t>SEGAWA YU</t>
        </is>
      </c>
      <c r="C256" s="1" t="inlineStr"/>
      <c r="D256" s="1" t="inlineStr">
        <is>
          <t>NTW005</t>
        </is>
      </c>
      <c r="E256" s="1" t="n"/>
      <c r="F256" s="4" t="inlineStr">
        <is>
          <t>瀬川 YU</t>
        </is>
      </c>
      <c r="G256" s="4" t="inlineStr">
        <is>
          <t>YU</t>
        </is>
      </c>
      <c r="H256" s="4" t="inlineStr">
        <is>
          <t>機種：</t>
        </is>
      </c>
      <c r="I256" s="4" t="inlineStr">
        <is>
          <t>787</t>
        </is>
      </c>
      <c r="J256" s="4" t="inlineStr">
        <is>
          <t>ランク：</t>
        </is>
      </c>
      <c r="K256" s="4" t="inlineStr">
        <is>
          <t>CAP</t>
        </is>
      </c>
      <c r="L256" s="4" t="inlineStr">
        <is>
          <t>期：</t>
        </is>
      </c>
      <c r="M256" s="4" t="inlineStr">
        <is>
          <t>職番：</t>
        </is>
      </c>
      <c r="N256" s="4" t="inlineStr">
        <is>
          <t>00040590</t>
        </is>
      </c>
      <c r="O256" s="4" t="inlineStr">
        <is>
          <t>所属：</t>
        </is>
      </c>
      <c r="P256" s="4" t="inlineStr">
        <is>
          <t>NTZNT</t>
        </is>
      </c>
      <c r="Q256" s="4" t="inlineStr">
        <is>
          <t>CAT資：</t>
        </is>
      </c>
      <c r="R256" s="4" t="inlineStr">
        <is>
          <t>CAT3</t>
        </is>
      </c>
      <c r="S256" s="4" t="inlineStr">
        <is>
          <t>T/O：</t>
        </is>
      </c>
      <c r="T256" s="4" t="inlineStr">
        <is>
          <t>3T250917</t>
        </is>
      </c>
      <c r="U256" s="4" t="inlineStr">
        <is>
          <t>L/D：</t>
        </is>
      </c>
      <c r="V256" s="4" t="inlineStr">
        <is>
          <t>3L250917</t>
        </is>
      </c>
      <c r="W256" s="4" t="inlineStr">
        <is>
          <t>PE：</t>
        </is>
      </c>
      <c r="X256" s="5" t="inlineStr">
        <is>
          <t>PE260315</t>
        </is>
      </c>
      <c r="Y256" s="4" t="inlineStr">
        <is>
          <t>誕生月：</t>
        </is>
      </c>
      <c r="Z256" s="4" t="inlineStr">
        <is>
          <t>06</t>
        </is>
      </c>
      <c r="AA256" s="6" t="inlineStr">
        <is>
          <t>電話：</t>
        </is>
      </c>
      <c r="AB256" s="6" t="inlineStr">
        <is>
          <t>080-3175-7150</t>
        </is>
      </c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>
        <is>
          <t>NTW005</t>
        </is>
      </c>
    </row>
    <row r="257">
      <c r="A257" s="1" t="inlineStr">
        <is>
          <t>40590-2</t>
        </is>
      </c>
      <c r="B257" s="1" t="inlineStr">
        <is>
          <t>SEGAWA YU</t>
        </is>
      </c>
      <c r="C257" s="1" t="inlineStr"/>
      <c r="D257" s="1" t="inlineStr">
        <is>
          <t>NTW005</t>
        </is>
      </c>
      <c r="E257" s="1" t="n"/>
      <c r="F257" s="7" t="inlineStr">
        <is>
          <t>01</t>
        </is>
      </c>
      <c r="G257" s="7" t="inlineStr">
        <is>
          <t>02</t>
        </is>
      </c>
      <c r="H257" s="7" t="inlineStr">
        <is>
          <t>03</t>
        </is>
      </c>
      <c r="I257" s="7" t="inlineStr">
        <is>
          <t>04</t>
        </is>
      </c>
      <c r="J257" s="7" t="inlineStr">
        <is>
          <t>05</t>
        </is>
      </c>
      <c r="K257" s="7" t="inlineStr">
        <is>
          <t>06</t>
        </is>
      </c>
      <c r="L257" s="7" t="inlineStr">
        <is>
          <t>07</t>
        </is>
      </c>
      <c r="M257" s="7" t="inlineStr">
        <is>
          <t>08</t>
        </is>
      </c>
      <c r="N257" s="7" t="inlineStr">
        <is>
          <t>09</t>
        </is>
      </c>
      <c r="O257" s="7" t="inlineStr">
        <is>
          <t>10</t>
        </is>
      </c>
      <c r="P257" s="7" t="inlineStr">
        <is>
          <t>11</t>
        </is>
      </c>
      <c r="Q257" s="7" t="inlineStr">
        <is>
          <t>12</t>
        </is>
      </c>
      <c r="R257" s="7" t="inlineStr">
        <is>
          <t>13</t>
        </is>
      </c>
      <c r="S257" s="7" t="inlineStr">
        <is>
          <t>14</t>
        </is>
      </c>
      <c r="T257" s="7" t="inlineStr">
        <is>
          <t>15</t>
        </is>
      </c>
      <c r="U257" s="7" t="inlineStr">
        <is>
          <t>16</t>
        </is>
      </c>
      <c r="V257" s="7" t="inlineStr">
        <is>
          <t>17</t>
        </is>
      </c>
      <c r="W257" s="7" t="inlineStr">
        <is>
          <t>18</t>
        </is>
      </c>
      <c r="X257" s="8" t="inlineStr">
        <is>
          <t>19</t>
        </is>
      </c>
      <c r="Y257" s="8" t="inlineStr">
        <is>
          <t>20</t>
        </is>
      </c>
      <c r="Z257" s="7" t="inlineStr">
        <is>
          <t>21</t>
        </is>
      </c>
      <c r="AA257" s="7" t="inlineStr">
        <is>
          <t>22</t>
        </is>
      </c>
      <c r="AB257" s="7" t="inlineStr">
        <is>
          <t>23</t>
        </is>
      </c>
      <c r="AC257" s="7" t="inlineStr">
        <is>
          <t>24</t>
        </is>
      </c>
      <c r="AD257" s="7" t="inlineStr">
        <is>
          <t>25</t>
        </is>
      </c>
      <c r="AE257" s="7" t="inlineStr">
        <is>
          <t>26</t>
        </is>
      </c>
      <c r="AF257" s="7" t="inlineStr">
        <is>
          <t>27</t>
        </is>
      </c>
      <c r="AG257" s="7" t="inlineStr">
        <is>
          <t>28</t>
        </is>
      </c>
      <c r="AH257" s="7" t="inlineStr">
        <is>
          <t>29</t>
        </is>
      </c>
      <c r="AI257" s="7" t="inlineStr">
        <is>
          <t>30</t>
        </is>
      </c>
      <c r="AJ257" s="7" t="inlineStr">
        <is>
          <t>31</t>
        </is>
      </c>
    </row>
    <row r="258">
      <c r="A258" s="1" t="inlineStr">
        <is>
          <t>40590-3</t>
        </is>
      </c>
      <c r="B258" s="1" t="inlineStr">
        <is>
          <t>SEGAWA YU</t>
        </is>
      </c>
      <c r="C258" s="1" t="inlineStr"/>
      <c r="D258" s="1" t="inlineStr">
        <is>
          <t>NTW005</t>
        </is>
      </c>
      <c r="E258" s="1" t="n"/>
      <c r="F258" s="9" t="inlineStr">
        <is>
          <t>SX</t>
        </is>
      </c>
      <c r="G258" s="9" t="inlineStr">
        <is>
          <t>RF</t>
        </is>
      </c>
      <c r="H258" s="9" t="inlineStr">
        <is>
          <t>H</t>
        </is>
      </c>
      <c r="I258" s="9" t="inlineStr">
        <is>
          <t>753</t>
        </is>
      </c>
      <c r="J258" s="9" t="inlineStr">
        <is>
          <t>---</t>
        </is>
      </c>
      <c r="K258" s="9" t="inlineStr">
        <is>
          <t>754</t>
        </is>
      </c>
      <c r="L258" s="9" t="inlineStr">
        <is>
          <t>HH</t>
        </is>
      </c>
      <c r="M258" s="9" t="inlineStr">
        <is>
          <t>HH</t>
        </is>
      </c>
      <c r="N258" s="9" t="inlineStr">
        <is>
          <t>8786</t>
        </is>
      </c>
      <c r="O258" s="9" t="inlineStr">
        <is>
          <t>---</t>
        </is>
      </c>
      <c r="P258" s="9" t="inlineStr">
        <is>
          <t>73</t>
        </is>
      </c>
      <c r="Q258" s="9" t="inlineStr">
        <is>
          <t>H</t>
        </is>
      </c>
      <c r="R258" s="9" t="inlineStr">
        <is>
          <t>H</t>
        </is>
      </c>
      <c r="S258" s="9" t="inlineStr">
        <is>
          <t>753</t>
        </is>
      </c>
      <c r="T258" s="9" t="inlineStr">
        <is>
          <t>---</t>
        </is>
      </c>
      <c r="U258" s="9" t="inlineStr">
        <is>
          <t>754</t>
        </is>
      </c>
      <c r="V258" s="9" t="inlineStr">
        <is>
          <t>*H</t>
        </is>
      </c>
      <c r="W258" s="9" t="inlineStr">
        <is>
          <t>*H</t>
        </is>
      </c>
      <c r="X258" s="9" t="inlineStr">
        <is>
          <t>25
CFM ISR</t>
        </is>
      </c>
      <c r="Y258" s="9" t="inlineStr">
        <is>
          <t>20
CFM ISR</t>
        </is>
      </c>
      <c r="Z258" s="9" t="inlineStr">
        <is>
          <t>H</t>
        </is>
      </c>
      <c r="AA258" s="9" t="inlineStr">
        <is>
          <t>H</t>
        </is>
      </c>
      <c r="AB258" s="9" t="inlineStr">
        <is>
          <t>S11</t>
        </is>
      </c>
      <c r="AC258" s="9" t="inlineStr">
        <is>
          <t>68</t>
        </is>
      </c>
      <c r="AD258" s="9" t="inlineStr">
        <is>
          <t>---</t>
        </is>
      </c>
      <c r="AE258" s="9" t="inlineStr">
        <is>
          <t>67</t>
        </is>
      </c>
      <c r="AF258" s="9" t="inlineStr">
        <is>
          <t>H</t>
        </is>
      </c>
      <c r="AG258" s="9" t="inlineStr">
        <is>
          <t>H</t>
        </is>
      </c>
      <c r="AH258" s="9" t="inlineStr">
        <is>
          <t>GMT1</t>
        </is>
      </c>
      <c r="AI258" s="9" t="inlineStr">
        <is>
          <t>R_</t>
        </is>
      </c>
      <c r="AJ258" s="9" t="inlineStr">
        <is>
          <t>R</t>
        </is>
      </c>
    </row>
    <row r="259">
      <c r="A259" s="1" t="inlineStr">
        <is>
          <t>40590-4</t>
        </is>
      </c>
      <c r="B259" s="1" t="inlineStr">
        <is>
          <t>SEGAWA YU</t>
        </is>
      </c>
      <c r="C259" s="1" t="inlineStr"/>
      <c r="D259" s="1" t="inlineStr">
        <is>
          <t>NTW005</t>
        </is>
      </c>
      <c r="E259" s="1" t="n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  <c r="R259" s="9" t="inlineStr"/>
      <c r="S259" s="9">
        <f>HYPERLINK("#Schedule!F2", "原田 YU (41171)")</f>
        <v/>
      </c>
      <c r="T259" s="9" t="inlineStr"/>
      <c r="U259" s="9">
        <f>HYPERLINK("#Schedule!F2", "原田 YU (41171)")</f>
        <v/>
      </c>
      <c r="V259" s="9" t="inlineStr"/>
      <c r="W259" s="9" t="inlineStr"/>
      <c r="X259" s="9" t="inlineStr"/>
      <c r="Y259" s="9" t="inlineStr"/>
      <c r="Z259" s="9" t="inlineStr"/>
      <c r="AA259" s="9" t="inlineStr"/>
      <c r="AB259" s="9" t="inlineStr"/>
      <c r="AC259" s="9" t="inlineStr"/>
      <c r="AD259" s="9" t="inlineStr"/>
      <c r="AE259" s="9" t="inlineStr"/>
      <c r="AF259" s="9" t="inlineStr"/>
      <c r="AG259" s="9" t="inlineStr"/>
      <c r="AH259" s="9" t="inlineStr"/>
      <c r="AI259" s="9" t="inlineStr"/>
      <c r="AJ259" s="9" t="inlineStr"/>
    </row>
    <row r="260">
      <c r="A260" s="1" t="inlineStr">
        <is>
          <t>41365-1</t>
        </is>
      </c>
      <c r="B260" s="1" t="inlineStr">
        <is>
          <t>ASO KA</t>
        </is>
      </c>
      <c r="C260" s="1" t="inlineStr"/>
      <c r="D260" s="1" t="inlineStr">
        <is>
          <t>NTW005</t>
        </is>
      </c>
      <c r="E260" s="1" t="n"/>
      <c r="F260" s="4" t="inlineStr">
        <is>
          <t>麻生 KA</t>
        </is>
      </c>
      <c r="G260" s="4" t="inlineStr">
        <is>
          <t>KA</t>
        </is>
      </c>
      <c r="H260" s="4" t="inlineStr">
        <is>
          <t>機種：</t>
        </is>
      </c>
      <c r="I260" s="4" t="inlineStr">
        <is>
          <t>787</t>
        </is>
      </c>
      <c r="J260" s="4" t="inlineStr">
        <is>
          <t>ランク：</t>
        </is>
      </c>
      <c r="K260" s="4" t="inlineStr">
        <is>
          <t>CAP</t>
        </is>
      </c>
      <c r="L260" s="4" t="inlineStr">
        <is>
          <t>期：</t>
        </is>
      </c>
      <c r="M260" s="4" t="inlineStr">
        <is>
          <t>職番：</t>
        </is>
      </c>
      <c r="N260" s="4" t="inlineStr">
        <is>
          <t>00041365</t>
        </is>
      </c>
      <c r="O260" s="4" t="inlineStr">
        <is>
          <t>所属：</t>
        </is>
      </c>
      <c r="P260" s="4" t="inlineStr">
        <is>
          <t>NTZNT</t>
        </is>
      </c>
      <c r="Q260" s="4" t="inlineStr">
        <is>
          <t>CAT資：</t>
        </is>
      </c>
      <c r="R260" s="4" t="inlineStr">
        <is>
          <t>CAT3</t>
        </is>
      </c>
      <c r="S260" s="4" t="inlineStr">
        <is>
          <t>T/O：</t>
        </is>
      </c>
      <c r="T260" s="4" t="inlineStr">
        <is>
          <t>3T250920</t>
        </is>
      </c>
      <c r="U260" s="4" t="inlineStr">
        <is>
          <t>L/D：</t>
        </is>
      </c>
      <c r="V260" s="4" t="inlineStr">
        <is>
          <t>3L250905</t>
        </is>
      </c>
      <c r="W260" s="4" t="inlineStr">
        <is>
          <t>PE：</t>
        </is>
      </c>
      <c r="X260" s="5" t="inlineStr">
        <is>
          <t>PE251112</t>
        </is>
      </c>
      <c r="Y260" s="4" t="inlineStr">
        <is>
          <t>誕生月：</t>
        </is>
      </c>
      <c r="Z260" s="4" t="inlineStr">
        <is>
          <t>01</t>
        </is>
      </c>
      <c r="AA260" s="6" t="inlineStr">
        <is>
          <t>電話：</t>
        </is>
      </c>
      <c r="AB260" s="6" t="inlineStr">
        <is>
          <t>03-5716-1590</t>
        </is>
      </c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>
        <is>
          <t>NTW005</t>
        </is>
      </c>
    </row>
    <row r="261">
      <c r="A261" s="1" t="inlineStr">
        <is>
          <t>41365-2</t>
        </is>
      </c>
      <c r="B261" s="1" t="inlineStr">
        <is>
          <t>ASO KA</t>
        </is>
      </c>
      <c r="C261" s="1" t="inlineStr"/>
      <c r="D261" s="1" t="inlineStr">
        <is>
          <t>NTW005</t>
        </is>
      </c>
      <c r="E261" s="1" t="n"/>
      <c r="F261" s="7" t="inlineStr">
        <is>
          <t>01</t>
        </is>
      </c>
      <c r="G261" s="7" t="inlineStr">
        <is>
          <t>02</t>
        </is>
      </c>
      <c r="H261" s="7" t="inlineStr">
        <is>
          <t>03</t>
        </is>
      </c>
      <c r="I261" s="7" t="inlineStr">
        <is>
          <t>04</t>
        </is>
      </c>
      <c r="J261" s="7" t="inlineStr">
        <is>
          <t>05</t>
        </is>
      </c>
      <c r="K261" s="7" t="inlineStr">
        <is>
          <t>06</t>
        </is>
      </c>
      <c r="L261" s="7" t="inlineStr">
        <is>
          <t>07</t>
        </is>
      </c>
      <c r="M261" s="7" t="inlineStr">
        <is>
          <t>08</t>
        </is>
      </c>
      <c r="N261" s="7" t="inlineStr">
        <is>
          <t>09</t>
        </is>
      </c>
      <c r="O261" s="8" t="inlineStr">
        <is>
          <t>10</t>
        </is>
      </c>
      <c r="P261" s="8" t="inlineStr">
        <is>
          <t>11</t>
        </is>
      </c>
      <c r="Q261" s="7" t="inlineStr">
        <is>
          <t>12</t>
        </is>
      </c>
      <c r="R261" s="7" t="inlineStr">
        <is>
          <t>13</t>
        </is>
      </c>
      <c r="S261" s="7" t="inlineStr">
        <is>
          <t>14</t>
        </is>
      </c>
      <c r="T261" s="7" t="inlineStr">
        <is>
          <t>15</t>
        </is>
      </c>
      <c r="U261" s="7" t="inlineStr">
        <is>
          <t>16</t>
        </is>
      </c>
      <c r="V261" s="7" t="inlineStr">
        <is>
          <t>17</t>
        </is>
      </c>
      <c r="W261" s="8" t="inlineStr">
        <is>
          <t>18</t>
        </is>
      </c>
      <c r="X261" s="7" t="inlineStr">
        <is>
          <t>19</t>
        </is>
      </c>
      <c r="Y261" s="8" t="inlineStr">
        <is>
          <t>20</t>
        </is>
      </c>
      <c r="Z261" s="7" t="inlineStr">
        <is>
          <t>21</t>
        </is>
      </c>
      <c r="AA261" s="7" t="inlineStr">
        <is>
          <t>22</t>
        </is>
      </c>
      <c r="AB261" s="7" t="inlineStr">
        <is>
          <t>23</t>
        </is>
      </c>
      <c r="AC261" s="7" t="inlineStr">
        <is>
          <t>24</t>
        </is>
      </c>
      <c r="AD261" s="8" t="inlineStr">
        <is>
          <t>25</t>
        </is>
      </c>
      <c r="AE261" s="7" t="inlineStr">
        <is>
          <t>26</t>
        </is>
      </c>
      <c r="AF261" s="7" t="inlineStr">
        <is>
          <t>27</t>
        </is>
      </c>
      <c r="AG261" s="7" t="inlineStr">
        <is>
          <t>28</t>
        </is>
      </c>
      <c r="AH261" s="7" t="inlineStr">
        <is>
          <t>29</t>
        </is>
      </c>
      <c r="AI261" s="8" t="inlineStr">
        <is>
          <t>30</t>
        </is>
      </c>
      <c r="AJ261" s="8" t="inlineStr">
        <is>
          <t>31</t>
        </is>
      </c>
    </row>
    <row r="262">
      <c r="A262" s="1" t="inlineStr">
        <is>
          <t>41365-3</t>
        </is>
      </c>
      <c r="B262" s="1" t="inlineStr">
        <is>
          <t>ASO KA</t>
        </is>
      </c>
      <c r="C262" s="1" t="inlineStr"/>
      <c r="D262" s="1" t="inlineStr">
        <is>
          <t>NTW005</t>
        </is>
      </c>
      <c r="E262" s="1" t="n"/>
      <c r="F262" s="9" t="inlineStr">
        <is>
          <t>*H</t>
        </is>
      </c>
      <c r="G262" s="9" t="inlineStr">
        <is>
          <t>*H</t>
        </is>
      </c>
      <c r="H262" s="9" t="inlineStr">
        <is>
          <t>SX</t>
        </is>
      </c>
      <c r="I262" s="9" t="inlineStr">
        <is>
          <t>RF</t>
        </is>
      </c>
      <c r="J262" s="9" t="inlineStr">
        <is>
          <t>37</t>
        </is>
      </c>
      <c r="K262" s="9" t="inlineStr">
        <is>
          <t>---</t>
        </is>
      </c>
      <c r="L262" s="9" t="inlineStr">
        <is>
          <t>36</t>
        </is>
      </c>
      <c r="M262" s="9" t="inlineStr">
        <is>
          <t>H</t>
        </is>
      </c>
      <c r="N262" s="9" t="inlineStr">
        <is>
          <t>MIDNIT</t>
        </is>
      </c>
      <c r="O262" s="9" t="inlineStr">
        <is>
          <t>79
CMD ISR</t>
        </is>
      </c>
      <c r="P262" s="9" t="inlineStr">
        <is>
          <t>750
CMD ISR</t>
        </is>
      </c>
      <c r="Q262" s="9" t="inlineStr">
        <is>
          <t>*H</t>
        </is>
      </c>
      <c r="R262" s="9" t="inlineStr">
        <is>
          <t>H</t>
        </is>
      </c>
      <c r="S262" s="9" t="inlineStr">
        <is>
          <t>SX</t>
        </is>
      </c>
      <c r="T262" s="9" t="inlineStr">
        <is>
          <t>SX</t>
        </is>
      </c>
      <c r="U262" s="9" t="inlineStr">
        <is>
          <t>RF</t>
        </is>
      </c>
      <c r="V262" s="9" t="inlineStr">
        <is>
          <t>H</t>
        </is>
      </c>
      <c r="W262" s="9" t="inlineStr">
        <is>
          <t>33
CFM ISR</t>
        </is>
      </c>
      <c r="X262" s="9" t="inlineStr">
        <is>
          <t>---</t>
        </is>
      </c>
      <c r="Y262" s="9" t="inlineStr">
        <is>
          <t>32
CFM ISR</t>
        </is>
      </c>
      <c r="Z262" s="9" t="inlineStr">
        <is>
          <t>*H</t>
        </is>
      </c>
      <c r="AA262" s="9" t="inlineStr">
        <is>
          <t>H</t>
        </is>
      </c>
      <c r="AB262" s="9" t="inlineStr">
        <is>
          <t>R</t>
        </is>
      </c>
      <c r="AC262" s="9" t="inlineStr">
        <is>
          <t>R</t>
        </is>
      </c>
      <c r="AD262" s="9" t="inlineStr">
        <is>
          <t>93
CMD ISR
94
CMD ISR</t>
        </is>
      </c>
      <c r="AE262" s="9" t="inlineStr">
        <is>
          <t>H</t>
        </is>
      </c>
      <c r="AF262" s="9" t="inlineStr">
        <is>
          <t>H</t>
        </is>
      </c>
      <c r="AG262" s="9" t="inlineStr">
        <is>
          <t>H</t>
        </is>
      </c>
      <c r="AH262" s="9" t="inlineStr">
        <is>
          <t>GMT1</t>
        </is>
      </c>
      <c r="AI262" s="9" t="inlineStr">
        <is>
          <t>139
CMD ISR</t>
        </is>
      </c>
      <c r="AJ262" s="9" t="inlineStr">
        <is>
          <t>116
CMD ISR
125
CMD ISR
128
CMD ISR</t>
        </is>
      </c>
    </row>
    <row r="263">
      <c r="A263" s="1" t="inlineStr">
        <is>
          <t>41365-4</t>
        </is>
      </c>
      <c r="B263" s="1" t="inlineStr">
        <is>
          <t>ASO KA</t>
        </is>
      </c>
      <c r="C263" s="1" t="inlineStr"/>
      <c r="D263" s="1" t="inlineStr">
        <is>
          <t>NTW005</t>
        </is>
      </c>
      <c r="E263" s="1" t="n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>
        <f>HYPERLINK("#Schedule!F379", "SAKAKIMA (50730)")</f>
        <v/>
      </c>
      <c r="P263" s="9">
        <f>HYPERLINK("#Schedule!F379", "SAKAKIMA (50730)")</f>
        <v/>
      </c>
      <c r="Q263" s="9" t="inlineStr"/>
      <c r="R263" s="9" t="inlineStr"/>
      <c r="S263" s="9" t="inlineStr"/>
      <c r="T263" s="9" t="inlineStr"/>
      <c r="U263" s="9" t="inlineStr"/>
      <c r="V263" s="9" t="inlineStr"/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>
        <f>HYPERLINK("#Schedule!F338", "SAITOYT (53880)")</f>
        <v/>
      </c>
      <c r="AE263" s="9" t="inlineStr"/>
      <c r="AF263" s="9" t="inlineStr"/>
      <c r="AG263" s="9" t="inlineStr"/>
      <c r="AH263" s="9" t="inlineStr"/>
      <c r="AI263" s="9">
        <f>HYPERLINK("#Schedule!F404", "NISHIHARATA (41200)")</f>
        <v/>
      </c>
      <c r="AJ263" s="9">
        <f>HYPERLINK("#Schedule!F404", "NISHIHARATA (41200)")</f>
        <v/>
      </c>
    </row>
    <row r="264">
      <c r="A264" s="1" t="inlineStr">
        <is>
          <t>48992-1</t>
        </is>
      </c>
      <c r="B264" s="1" t="inlineStr">
        <is>
          <t>FUJIMOTO TK</t>
        </is>
      </c>
      <c r="C264" s="1" t="inlineStr"/>
      <c r="D264" s="1" t="inlineStr">
        <is>
          <t>NTW005</t>
        </is>
      </c>
      <c r="E264" s="1" t="n"/>
      <c r="F264" s="4" t="inlineStr">
        <is>
          <t>藤本 TK</t>
        </is>
      </c>
      <c r="G264" s="4" t="inlineStr">
        <is>
          <t>TK</t>
        </is>
      </c>
      <c r="H264" s="4" t="inlineStr">
        <is>
          <t>機種：</t>
        </is>
      </c>
      <c r="I264" s="4" t="inlineStr">
        <is>
          <t>787</t>
        </is>
      </c>
      <c r="J264" s="4" t="inlineStr">
        <is>
          <t>ランク：</t>
        </is>
      </c>
      <c r="K264" s="4" t="inlineStr">
        <is>
          <t>CAP</t>
        </is>
      </c>
      <c r="L264" s="4" t="inlineStr">
        <is>
          <t>期：</t>
        </is>
      </c>
      <c r="M264" s="4" t="inlineStr">
        <is>
          <t>職番：</t>
        </is>
      </c>
      <c r="N264" s="4" t="inlineStr">
        <is>
          <t>00048992</t>
        </is>
      </c>
      <c r="O264" s="4" t="inlineStr">
        <is>
          <t>所属：</t>
        </is>
      </c>
      <c r="P264" s="4" t="inlineStr">
        <is>
          <t>NTZNT</t>
        </is>
      </c>
      <c r="Q264" s="4" t="inlineStr">
        <is>
          <t>CAT資：</t>
        </is>
      </c>
      <c r="R264" s="4" t="inlineStr">
        <is>
          <t>CAT3</t>
        </is>
      </c>
      <c r="S264" s="4" t="inlineStr">
        <is>
          <t>T/O：</t>
        </is>
      </c>
      <c r="T264" s="4" t="inlineStr">
        <is>
          <t>3T250915</t>
        </is>
      </c>
      <c r="U264" s="4" t="inlineStr">
        <is>
          <t>L/D：</t>
        </is>
      </c>
      <c r="V264" s="4" t="inlineStr">
        <is>
          <t>3L250916</t>
        </is>
      </c>
      <c r="W264" s="4" t="inlineStr">
        <is>
          <t>PE：</t>
        </is>
      </c>
      <c r="X264" s="5" t="inlineStr">
        <is>
          <t>PE260405</t>
        </is>
      </c>
      <c r="Y264" s="4" t="inlineStr">
        <is>
          <t>誕生月：</t>
        </is>
      </c>
      <c r="Z264" s="4" t="inlineStr">
        <is>
          <t>01</t>
        </is>
      </c>
      <c r="AA264" s="6" t="inlineStr">
        <is>
          <t>電話：</t>
        </is>
      </c>
      <c r="AB264" s="6" t="inlineStr">
        <is>
          <t>090-8807-7711</t>
        </is>
      </c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>
        <is>
          <t>NTW005</t>
        </is>
      </c>
    </row>
    <row r="265">
      <c r="A265" s="1" t="inlineStr">
        <is>
          <t>48992-2</t>
        </is>
      </c>
      <c r="B265" s="1" t="inlineStr">
        <is>
          <t>FUJIMOTO TK</t>
        </is>
      </c>
      <c r="C265" s="1" t="inlineStr"/>
      <c r="D265" s="1" t="inlineStr">
        <is>
          <t>NTW005</t>
        </is>
      </c>
      <c r="E265" s="1" t="n"/>
      <c r="F265" s="7" t="inlineStr">
        <is>
          <t>01</t>
        </is>
      </c>
      <c r="G265" s="7" t="inlineStr">
        <is>
          <t>02</t>
        </is>
      </c>
      <c r="H265" s="7" t="inlineStr">
        <is>
          <t>03</t>
        </is>
      </c>
      <c r="I265" s="7" t="inlineStr">
        <is>
          <t>04</t>
        </is>
      </c>
      <c r="J265" s="7" t="inlineStr">
        <is>
          <t>05</t>
        </is>
      </c>
      <c r="K265" s="7" t="inlineStr">
        <is>
          <t>06</t>
        </is>
      </c>
      <c r="L265" s="7" t="inlineStr">
        <is>
          <t>07</t>
        </is>
      </c>
      <c r="M265" s="7" t="inlineStr">
        <is>
          <t>08</t>
        </is>
      </c>
      <c r="N265" s="7" t="inlineStr">
        <is>
          <t>09</t>
        </is>
      </c>
      <c r="O265" s="7" t="inlineStr">
        <is>
          <t>10</t>
        </is>
      </c>
      <c r="P265" s="7" t="inlineStr">
        <is>
          <t>11</t>
        </is>
      </c>
      <c r="Q265" s="7" t="inlineStr">
        <is>
          <t>12</t>
        </is>
      </c>
      <c r="R265" s="7" t="inlineStr">
        <is>
          <t>13</t>
        </is>
      </c>
      <c r="S265" s="7" t="inlineStr">
        <is>
          <t>14</t>
        </is>
      </c>
      <c r="T265" s="7" t="inlineStr">
        <is>
          <t>15</t>
        </is>
      </c>
      <c r="U265" s="7" t="inlineStr">
        <is>
          <t>16</t>
        </is>
      </c>
      <c r="V265" s="7" t="inlineStr">
        <is>
          <t>17</t>
        </is>
      </c>
      <c r="W265" s="7" t="inlineStr">
        <is>
          <t>18</t>
        </is>
      </c>
      <c r="X265" s="7" t="inlineStr">
        <is>
          <t>19</t>
        </is>
      </c>
      <c r="Y265" s="7" t="inlineStr">
        <is>
          <t>20</t>
        </is>
      </c>
      <c r="Z265" s="7" t="inlineStr">
        <is>
          <t>21</t>
        </is>
      </c>
      <c r="AA265" s="7" t="inlineStr">
        <is>
          <t>22</t>
        </is>
      </c>
      <c r="AB265" s="7" t="inlineStr">
        <is>
          <t>23</t>
        </is>
      </c>
      <c r="AC265" s="7" t="inlineStr">
        <is>
          <t>24</t>
        </is>
      </c>
      <c r="AD265" s="10" t="inlineStr">
        <is>
          <t>25</t>
        </is>
      </c>
      <c r="AE265" s="8" t="inlineStr">
        <is>
          <t>26</t>
        </is>
      </c>
      <c r="AF265" s="8" t="inlineStr">
        <is>
          <t>27</t>
        </is>
      </c>
      <c r="AG265" s="7" t="inlineStr">
        <is>
          <t>28</t>
        </is>
      </c>
      <c r="AH265" s="7" t="inlineStr">
        <is>
          <t>29</t>
        </is>
      </c>
      <c r="AI265" s="7" t="inlineStr">
        <is>
          <t>30</t>
        </is>
      </c>
      <c r="AJ265" s="7" t="inlineStr">
        <is>
          <t>31</t>
        </is>
      </c>
    </row>
    <row r="266">
      <c r="A266" s="1" t="inlineStr">
        <is>
          <t>48992-3</t>
        </is>
      </c>
      <c r="B266" s="1" t="inlineStr">
        <is>
          <t>FUJIMOTO TK</t>
        </is>
      </c>
      <c r="C266" s="1" t="inlineStr"/>
      <c r="D266" s="1" t="inlineStr">
        <is>
          <t>NTW005</t>
        </is>
      </c>
      <c r="E266" s="1" t="n"/>
      <c r="F266" s="9" t="inlineStr">
        <is>
          <t>20</t>
        </is>
      </c>
      <c r="G266" s="9" t="inlineStr">
        <is>
          <t>H</t>
        </is>
      </c>
      <c r="H266" s="9" t="inlineStr">
        <is>
          <t>H</t>
        </is>
      </c>
      <c r="I266" s="9" t="inlineStr">
        <is>
          <t>VACK</t>
        </is>
      </c>
      <c r="J266" s="9" t="inlineStr">
        <is>
          <t>VACK</t>
        </is>
      </c>
      <c r="K266" s="9" t="inlineStr">
        <is>
          <t>H</t>
        </is>
      </c>
      <c r="L266" s="9" t="inlineStr">
        <is>
          <t>NTZF1</t>
        </is>
      </c>
      <c r="M266" s="9" t="inlineStr">
        <is>
          <t>NTZF1</t>
        </is>
      </c>
      <c r="N266" s="9" t="inlineStr">
        <is>
          <t>H</t>
        </is>
      </c>
      <c r="O266" s="9" t="inlineStr">
        <is>
          <t>H</t>
        </is>
      </c>
      <c r="P266" s="9" t="inlineStr">
        <is>
          <t>VAC</t>
        </is>
      </c>
      <c r="Q266" s="9" t="inlineStr">
        <is>
          <t>VAC</t>
        </is>
      </c>
      <c r="R266" s="9" t="inlineStr">
        <is>
          <t>VAC</t>
        </is>
      </c>
      <c r="S266" s="9" t="inlineStr">
        <is>
          <t>VAC</t>
        </is>
      </c>
      <c r="T266" s="9" t="inlineStr">
        <is>
          <t>VAC</t>
        </is>
      </c>
      <c r="U266" s="9" t="inlineStr">
        <is>
          <t>VAC</t>
        </is>
      </c>
      <c r="V266" s="9" t="inlineStr">
        <is>
          <t>S05</t>
        </is>
      </c>
      <c r="W266" s="9" t="inlineStr">
        <is>
          <t>H</t>
        </is>
      </c>
      <c r="X266" s="9" t="inlineStr">
        <is>
          <t>H</t>
        </is>
      </c>
      <c r="Y266" s="9" t="inlineStr">
        <is>
          <t>VAC</t>
        </is>
      </c>
      <c r="Z266" s="9" t="inlineStr">
        <is>
          <t>VAC</t>
        </is>
      </c>
      <c r="AA266" s="9" t="inlineStr">
        <is>
          <t>VAC</t>
        </is>
      </c>
      <c r="AB266" s="9" t="inlineStr">
        <is>
          <t>HH</t>
        </is>
      </c>
      <c r="AC266" s="9" t="inlineStr">
        <is>
          <t>HH</t>
        </is>
      </c>
      <c r="AD266" s="9" t="inlineStr">
        <is>
          <t>M22
ISR
#1
19:00-23:00</t>
        </is>
      </c>
      <c r="AE266" s="9" t="inlineStr">
        <is>
          <t>25
LEF ISR</t>
        </is>
      </c>
      <c r="AF266" s="9" t="inlineStr">
        <is>
          <t>20
LEF ISR</t>
        </is>
      </c>
      <c r="AG266" s="9" t="inlineStr">
        <is>
          <t>H</t>
        </is>
      </c>
      <c r="AH266" s="9" t="inlineStr">
        <is>
          <t>GMT1</t>
        </is>
      </c>
      <c r="AI266" s="9" t="inlineStr">
        <is>
          <t>H</t>
        </is>
      </c>
      <c r="AJ266" s="9" t="inlineStr">
        <is>
          <t>81
82</t>
        </is>
      </c>
    </row>
    <row r="267">
      <c r="A267" s="1" t="inlineStr">
        <is>
          <t>48992-4</t>
        </is>
      </c>
      <c r="B267" s="1" t="inlineStr">
        <is>
          <t>FUJIMOTO TK</t>
        </is>
      </c>
      <c r="C267" s="1" t="inlineStr"/>
      <c r="D267" s="1" t="inlineStr">
        <is>
          <t>NTW005</t>
        </is>
      </c>
      <c r="E267" s="1" t="n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  <c r="P267" s="9" t="inlineStr"/>
      <c r="Q267" s="9" t="inlineStr"/>
      <c r="R267" s="9" t="inlineStr"/>
      <c r="S267" s="9" t="inlineStr"/>
      <c r="T267" s="9" t="inlineStr"/>
      <c r="U267" s="9" t="inlineStr"/>
      <c r="V267" s="9" t="inlineStr"/>
      <c r="W267" s="9" t="inlineStr"/>
      <c r="X267" s="9" t="inlineStr"/>
      <c r="Y267" s="9" t="inlineStr"/>
      <c r="Z267" s="9" t="inlineStr"/>
      <c r="AA267" s="9" t="inlineStr"/>
      <c r="AB267" s="9" t="inlineStr"/>
      <c r="AC267" s="9" t="inlineStr"/>
      <c r="AD267" s="9" t="inlineStr">
        <is>
          <t>I山本KC</t>
        </is>
      </c>
      <c r="AE267" s="9" t="inlineStr"/>
      <c r="AF267" s="9" t="inlineStr"/>
      <c r="AG267" s="9" t="inlineStr"/>
      <c r="AH267" s="9" t="inlineStr"/>
      <c r="AI267" s="9" t="inlineStr"/>
      <c r="AJ267" s="9" t="inlineStr"/>
    </row>
    <row r="268">
      <c r="A268" s="1" t="inlineStr">
        <is>
          <t>48992-5</t>
        </is>
      </c>
      <c r="B268" s="1" t="inlineStr">
        <is>
          <t>FUJIMOTO TK</t>
        </is>
      </c>
      <c r="C268" s="1" t="inlineStr"/>
      <c r="D268" s="1" t="inlineStr">
        <is>
          <t>NTW005</t>
        </is>
      </c>
      <c r="E268" s="1" t="n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9" t="inlineStr"/>
      <c r="Q268" s="9" t="inlineStr"/>
      <c r="R268" s="9" t="inlineStr"/>
      <c r="S268" s="9" t="inlineStr"/>
      <c r="T268" s="9" t="inlineStr"/>
      <c r="U268" s="9" t="inlineStr"/>
      <c r="V268" s="9" t="inlineStr"/>
      <c r="W268" s="9" t="inlineStr"/>
      <c r="X268" s="9" t="inlineStr"/>
      <c r="Y268" s="9" t="inlineStr"/>
      <c r="Z268" s="9" t="inlineStr"/>
      <c r="AA268" s="9" t="inlineStr"/>
      <c r="AB268" s="9" t="inlineStr"/>
      <c r="AC268" s="9" t="inlineStr"/>
      <c r="AD268" s="9">
        <f>HYPERLINK("#Schedule!F221", "T中村TS (48009)")</f>
        <v/>
      </c>
      <c r="AE268" s="9" t="inlineStr"/>
      <c r="AF268" s="9" t="inlineStr"/>
      <c r="AG268" s="9" t="inlineStr"/>
      <c r="AH268" s="9" t="inlineStr"/>
      <c r="AI268" s="9" t="inlineStr"/>
      <c r="AJ268" s="9" t="inlineStr"/>
    </row>
    <row r="269">
      <c r="A269" s="1" t="inlineStr">
        <is>
          <t>49245-1</t>
        </is>
      </c>
      <c r="B269" s="1" t="inlineStr">
        <is>
          <t>NAGASAWA TA</t>
        </is>
      </c>
      <c r="C269" s="1" t="inlineStr"/>
      <c r="D269" s="1" t="inlineStr">
        <is>
          <t>NTW005</t>
        </is>
      </c>
      <c r="E269" s="1" t="n"/>
      <c r="F269" s="4" t="inlineStr">
        <is>
          <t>永澤 TA</t>
        </is>
      </c>
      <c r="G269" s="4" t="inlineStr">
        <is>
          <t>TA</t>
        </is>
      </c>
      <c r="H269" s="4" t="inlineStr">
        <is>
          <t>機種：</t>
        </is>
      </c>
      <c r="I269" s="4" t="inlineStr">
        <is>
          <t>787</t>
        </is>
      </c>
      <c r="J269" s="4" t="inlineStr">
        <is>
          <t>ランク：</t>
        </is>
      </c>
      <c r="K269" s="4" t="inlineStr">
        <is>
          <t>CAP</t>
        </is>
      </c>
      <c r="L269" s="4" t="inlineStr">
        <is>
          <t>期：</t>
        </is>
      </c>
      <c r="M269" s="4" t="inlineStr">
        <is>
          <t>職番：</t>
        </is>
      </c>
      <c r="N269" s="4" t="inlineStr">
        <is>
          <t>00049245</t>
        </is>
      </c>
      <c r="O269" s="4" t="inlineStr">
        <is>
          <t>所属：</t>
        </is>
      </c>
      <c r="P269" s="4" t="inlineStr">
        <is>
          <t>NTZNT</t>
        </is>
      </c>
      <c r="Q269" s="4" t="inlineStr">
        <is>
          <t>CAT資：</t>
        </is>
      </c>
      <c r="R269" s="4" t="inlineStr">
        <is>
          <t>CAT3</t>
        </is>
      </c>
      <c r="S269" s="4" t="inlineStr">
        <is>
          <t>T/O：</t>
        </is>
      </c>
      <c r="T269" s="4" t="inlineStr">
        <is>
          <t>3T251001</t>
        </is>
      </c>
      <c r="U269" s="4" t="inlineStr">
        <is>
          <t>L/D：</t>
        </is>
      </c>
      <c r="V269" s="4" t="inlineStr">
        <is>
          <t>3L251013</t>
        </is>
      </c>
      <c r="W269" s="4" t="inlineStr">
        <is>
          <t>PE：</t>
        </is>
      </c>
      <c r="X269" s="5" t="inlineStr">
        <is>
          <t>PE250805</t>
        </is>
      </c>
      <c r="Y269" s="4" t="inlineStr">
        <is>
          <t>誕生月：</t>
        </is>
      </c>
      <c r="Z269" s="4" t="inlineStr">
        <is>
          <t>03</t>
        </is>
      </c>
      <c r="AA269" s="6" t="inlineStr">
        <is>
          <t>電話：</t>
        </is>
      </c>
      <c r="AB269" s="6" t="inlineStr">
        <is>
          <t>080-3595-7819</t>
        </is>
      </c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>
        <is>
          <t>NTW005</t>
        </is>
      </c>
    </row>
    <row r="270">
      <c r="A270" s="1" t="inlineStr">
        <is>
          <t>49245-2</t>
        </is>
      </c>
      <c r="B270" s="1" t="inlineStr">
        <is>
          <t>NAGASAWA TA</t>
        </is>
      </c>
      <c r="C270" s="1" t="inlineStr"/>
      <c r="D270" s="1" t="inlineStr">
        <is>
          <t>NTW005</t>
        </is>
      </c>
      <c r="E270" s="1" t="n"/>
      <c r="F270" s="7" t="inlineStr">
        <is>
          <t>01</t>
        </is>
      </c>
      <c r="G270" s="7" t="inlineStr">
        <is>
          <t>02</t>
        </is>
      </c>
      <c r="H270" s="8" t="inlineStr">
        <is>
          <t>03</t>
        </is>
      </c>
      <c r="I270" s="8" t="inlineStr">
        <is>
          <t>04</t>
        </is>
      </c>
      <c r="J270" s="7" t="inlineStr">
        <is>
          <t>05</t>
        </is>
      </c>
      <c r="K270" s="7" t="inlineStr">
        <is>
          <t>06</t>
        </is>
      </c>
      <c r="L270" s="7" t="inlineStr">
        <is>
          <t>07</t>
        </is>
      </c>
      <c r="M270" s="10" t="inlineStr">
        <is>
          <t>08</t>
        </is>
      </c>
      <c r="N270" s="7" t="inlineStr">
        <is>
          <t>09</t>
        </is>
      </c>
      <c r="O270" s="7" t="inlineStr">
        <is>
          <t>10</t>
        </is>
      </c>
      <c r="P270" s="8" t="inlineStr">
        <is>
          <t>11</t>
        </is>
      </c>
      <c r="Q270" s="8" t="inlineStr">
        <is>
          <t>12</t>
        </is>
      </c>
      <c r="R270" s="10" t="inlineStr">
        <is>
          <t>13</t>
        </is>
      </c>
      <c r="S270" s="7" t="inlineStr">
        <is>
          <t>14</t>
        </is>
      </c>
      <c r="T270" s="7" t="inlineStr">
        <is>
          <t>15</t>
        </is>
      </c>
      <c r="U270" s="12" t="inlineStr">
        <is>
          <t>16</t>
        </is>
      </c>
      <c r="V270" s="12" t="inlineStr">
        <is>
          <t>17</t>
        </is>
      </c>
      <c r="W270" s="7" t="inlineStr">
        <is>
          <t>18</t>
        </is>
      </c>
      <c r="X270" s="7" t="inlineStr">
        <is>
          <t>19</t>
        </is>
      </c>
      <c r="Y270" s="7" t="inlineStr">
        <is>
          <t>20</t>
        </is>
      </c>
      <c r="Z270" s="8" t="inlineStr">
        <is>
          <t>21</t>
        </is>
      </c>
      <c r="AA270" s="7" t="inlineStr">
        <is>
          <t>22</t>
        </is>
      </c>
      <c r="AB270" s="7" t="inlineStr">
        <is>
          <t>23</t>
        </is>
      </c>
      <c r="AC270" s="7" t="inlineStr">
        <is>
          <t>24</t>
        </is>
      </c>
      <c r="AD270" s="10" t="inlineStr">
        <is>
          <t>25</t>
        </is>
      </c>
      <c r="AE270" s="7" t="inlineStr">
        <is>
          <t>26</t>
        </is>
      </c>
      <c r="AF270" s="7" t="inlineStr">
        <is>
          <t>27</t>
        </is>
      </c>
      <c r="AG270" s="7" t="inlineStr">
        <is>
          <t>28</t>
        </is>
      </c>
      <c r="AH270" s="7" t="inlineStr">
        <is>
          <t>29</t>
        </is>
      </c>
      <c r="AI270" s="7" t="inlineStr">
        <is>
          <t>30</t>
        </is>
      </c>
      <c r="AJ270" s="7" t="inlineStr">
        <is>
          <t>31</t>
        </is>
      </c>
    </row>
    <row r="271">
      <c r="A271" s="1" t="inlineStr">
        <is>
          <t>49245-3</t>
        </is>
      </c>
      <c r="B271" s="1" t="inlineStr">
        <is>
          <t>NAGASAWA TA</t>
        </is>
      </c>
      <c r="C271" s="1" t="inlineStr"/>
      <c r="D271" s="1" t="inlineStr">
        <is>
          <t>NTW005</t>
        </is>
      </c>
      <c r="E271" s="1" t="n"/>
      <c r="F271" s="9" t="inlineStr">
        <is>
          <t>S05</t>
        </is>
      </c>
      <c r="G271" s="9" t="inlineStr">
        <is>
          <t>S05</t>
        </is>
      </c>
      <c r="H271" s="9" t="inlineStr">
        <is>
          <t>505
CMD ISR
506
CMD ISR
517
CMD ISR</t>
        </is>
      </c>
      <c r="I271" s="9" t="inlineStr">
        <is>
          <t>516
CMD ISR
527
CMD ISR
528
CMD ISR</t>
        </is>
      </c>
      <c r="J271" s="9" t="inlineStr">
        <is>
          <t>RF</t>
        </is>
      </c>
      <c r="K271" s="9" t="inlineStr">
        <is>
          <t>H</t>
        </is>
      </c>
      <c r="L271" s="9" t="inlineStr">
        <is>
          <t>H</t>
        </is>
      </c>
      <c r="M271" s="9" t="inlineStr">
        <is>
          <t>M21
ISR
#1
05:00-09:00</t>
        </is>
      </c>
      <c r="N271" s="9" t="inlineStr">
        <is>
          <t>SX</t>
        </is>
      </c>
      <c r="O271" s="9" t="inlineStr">
        <is>
          <t>ISR
ISR
#1
15:00-19:00</t>
        </is>
      </c>
      <c r="P271" s="9" t="inlineStr">
        <is>
          <t>133
CAUG ISR</t>
        </is>
      </c>
      <c r="Q271" s="9" t="inlineStr">
        <is>
          <t>116
CAUG ISR</t>
        </is>
      </c>
      <c r="R271" s="9" t="inlineStr">
        <is>
          <t>M22
ISR
#1
19:00-23:00</t>
        </is>
      </c>
      <c r="S271" s="9" t="inlineStr">
        <is>
          <t>H</t>
        </is>
      </c>
      <c r="T271" s="9" t="inlineStr">
        <is>
          <t>H</t>
        </is>
      </c>
      <c r="U271" s="9" t="inlineStr">
        <is>
          <t>M21
TRN
#2
11:00-15:00</t>
        </is>
      </c>
      <c r="V271" s="9" t="inlineStr">
        <is>
          <t>M22
TRN
#1
19:00-23:00</t>
        </is>
      </c>
      <c r="W271" s="9" t="inlineStr">
        <is>
          <t>RF</t>
        </is>
      </c>
      <c r="X271" s="9" t="inlineStr">
        <is>
          <t>VAC</t>
        </is>
      </c>
      <c r="Y271" s="9" t="inlineStr">
        <is>
          <t>R</t>
        </is>
      </c>
      <c r="Z271" s="9" t="inlineStr">
        <is>
          <t>91
CMD ISR
92
CMD ISR</t>
        </is>
      </c>
      <c r="AA271" s="9" t="inlineStr">
        <is>
          <t>H</t>
        </is>
      </c>
      <c r="AB271" s="9" t="inlineStr">
        <is>
          <t>23
24</t>
        </is>
      </c>
      <c r="AC271" s="9" t="inlineStr">
        <is>
          <t>H</t>
        </is>
      </c>
      <c r="AD271" s="9" t="inlineStr">
        <is>
          <t>M21
ISR
#1
11:00-15:00</t>
        </is>
      </c>
      <c r="AE271" s="9" t="inlineStr">
        <is>
          <t>R_</t>
        </is>
      </c>
      <c r="AF271" s="9" t="inlineStr">
        <is>
          <t>H</t>
        </is>
      </c>
      <c r="AG271" s="9" t="inlineStr">
        <is>
          <t>H</t>
        </is>
      </c>
      <c r="AH271" s="9" t="inlineStr">
        <is>
          <t>GMT1</t>
        </is>
      </c>
      <c r="AI271" s="9" t="inlineStr">
        <is>
          <t>HH</t>
        </is>
      </c>
      <c r="AJ271" s="9" t="inlineStr">
        <is>
          <t>HH</t>
        </is>
      </c>
    </row>
    <row r="272">
      <c r="A272" s="1" t="inlineStr">
        <is>
          <t>49245-4</t>
        </is>
      </c>
      <c r="B272" s="1" t="inlineStr">
        <is>
          <t>NAGASAWA TA</t>
        </is>
      </c>
      <c r="C272" s="1" t="inlineStr"/>
      <c r="D272" s="1" t="inlineStr">
        <is>
          <t>NTW005</t>
        </is>
      </c>
      <c r="E272" s="1" t="n"/>
      <c r="F272" s="9" t="inlineStr"/>
      <c r="G272" s="9" t="inlineStr"/>
      <c r="H272" s="9">
        <f>HYPERLINK("#Schedule!F392", "HAYASAKAMA (44520)")</f>
        <v/>
      </c>
      <c r="I272" s="9">
        <f>HYPERLINK("#Schedule!F58", "市川 TO (41467)")</f>
        <v/>
      </c>
      <c r="J272" s="9" t="inlineStr"/>
      <c r="K272" s="9" t="inlineStr"/>
      <c r="L272" s="9" t="inlineStr"/>
      <c r="M272" s="9">
        <f>HYPERLINK("#Schedule!F28", "T毛利 YO (67849)")</f>
        <v/>
      </c>
      <c r="N272" s="9" t="inlineStr"/>
      <c r="O272" s="9" t="inlineStr">
        <is>
          <t>I吉村 YA</t>
        </is>
      </c>
      <c r="P272" s="9" t="inlineStr">
        <is>
          <t>TASAKASH</t>
        </is>
      </c>
      <c r="Q272" s="9" t="inlineStr">
        <is>
          <t>TASAKASH</t>
        </is>
      </c>
      <c r="R272" s="9" t="inlineStr"/>
      <c r="S272" s="9" t="inlineStr"/>
      <c r="T272" s="9" t="inlineStr"/>
      <c r="U272" s="9">
        <f>HYPERLINK("#Schedule!F19", "I崎濱SH (36186)")</f>
        <v/>
      </c>
      <c r="V272" s="9" t="inlineStr">
        <is>
          <t>I望月 YO</t>
        </is>
      </c>
      <c r="W272" s="9" t="inlineStr"/>
      <c r="X272" s="9" t="inlineStr"/>
      <c r="Y272" s="9" t="inlineStr"/>
      <c r="Z272" s="9">
        <f>HYPERLINK("#Schedule!F392", "HAYASAKAMA (44520)")</f>
        <v/>
      </c>
      <c r="AA272" s="9" t="inlineStr"/>
      <c r="AB272" s="9" t="inlineStr"/>
      <c r="AC272" s="9" t="inlineStr"/>
      <c r="AD272" s="9">
        <f>HYPERLINK("#Schedule!F19", "I崎濱SH (36186)")</f>
        <v/>
      </c>
      <c r="AE272" s="9" t="inlineStr"/>
      <c r="AF272" s="9" t="inlineStr"/>
      <c r="AG272" s="9" t="inlineStr"/>
      <c r="AH272" s="9" t="inlineStr"/>
      <c r="AI272" s="9" t="inlineStr"/>
      <c r="AJ272" s="9" t="inlineStr"/>
    </row>
    <row r="273">
      <c r="A273" s="1" t="inlineStr">
        <is>
          <t>49245-5</t>
        </is>
      </c>
      <c r="B273" s="1" t="inlineStr">
        <is>
          <t>NAGASAWA TA</t>
        </is>
      </c>
      <c r="C273" s="1" t="inlineStr"/>
      <c r="D273" s="1" t="inlineStr">
        <is>
          <t>NTW005</t>
        </is>
      </c>
      <c r="E273" s="1" t="n"/>
      <c r="F273" s="9" t="inlineStr"/>
      <c r="G273" s="9" t="inlineStr"/>
      <c r="H273" s="9" t="inlineStr"/>
      <c r="I273" s="9">
        <f>HYPERLINK("#Schedule!F392", "HAYASAKAMA (44520)")</f>
        <v/>
      </c>
      <c r="J273" s="9" t="inlineStr"/>
      <c r="K273" s="9" t="inlineStr"/>
      <c r="L273" s="9" t="inlineStr"/>
      <c r="M273" s="9" t="inlineStr"/>
      <c r="N273" s="9" t="inlineStr"/>
      <c r="O273" s="11">
        <f>HYPERLINK("#Schedule!F238", "I小林 NO (67670)")</f>
        <v/>
      </c>
      <c r="P273" s="9" t="inlineStr"/>
      <c r="Q273" s="9" t="inlineStr"/>
      <c r="R273" s="9" t="inlineStr"/>
      <c r="S273" s="9" t="inlineStr"/>
      <c r="T273" s="9" t="inlineStr"/>
      <c r="U273" s="9">
        <f>HYPERLINK("#Schedule!F81", "I北村 YA (37755)")</f>
        <v/>
      </c>
      <c r="V273" s="9" t="inlineStr"/>
      <c r="W273" s="9" t="inlineStr"/>
      <c r="X273" s="9" t="inlineStr"/>
      <c r="Y273" s="9" t="inlineStr"/>
      <c r="Z273" s="9" t="inlineStr"/>
      <c r="AA273" s="9" t="inlineStr"/>
      <c r="AB273" s="9" t="inlineStr"/>
      <c r="AC273" s="9" t="inlineStr"/>
      <c r="AD273" s="9" t="inlineStr"/>
      <c r="AE273" s="9" t="inlineStr"/>
      <c r="AF273" s="9" t="inlineStr"/>
      <c r="AG273" s="9" t="inlineStr"/>
      <c r="AH273" s="9" t="inlineStr"/>
      <c r="AI273" s="9" t="inlineStr"/>
      <c r="AJ273" s="9" t="inlineStr"/>
    </row>
    <row r="274">
      <c r="A274" s="1" t="inlineStr">
        <is>
          <t>49245-6</t>
        </is>
      </c>
      <c r="B274" s="1" t="inlineStr">
        <is>
          <t>NAGASAWA TA</t>
        </is>
      </c>
      <c r="C274" s="1" t="inlineStr"/>
      <c r="D274" s="1" t="inlineStr">
        <is>
          <t>NTW005</t>
        </is>
      </c>
      <c r="E274" s="1" t="n"/>
      <c r="F274" s="9" t="inlineStr"/>
      <c r="G274" s="9" t="inlineStr"/>
      <c r="H274" s="9" t="inlineStr"/>
      <c r="I274" s="9">
        <f>HYPERLINK("#Schedule!F398", "UMEMIYAMA (53878)")</f>
        <v/>
      </c>
      <c r="J274" s="9" t="inlineStr"/>
      <c r="K274" s="9" t="inlineStr"/>
      <c r="L274" s="9" t="inlineStr"/>
      <c r="M274" s="9" t="inlineStr"/>
      <c r="N274" s="9" t="inlineStr"/>
      <c r="O274" s="9" t="inlineStr"/>
      <c r="P274" s="9" t="inlineStr"/>
      <c r="Q274" s="9" t="inlineStr"/>
      <c r="R274" s="9" t="inlineStr"/>
      <c r="S274" s="9" t="inlineStr"/>
      <c r="T274" s="9" t="inlineStr"/>
      <c r="U274" s="9" t="inlineStr"/>
      <c r="V274" s="9" t="inlineStr"/>
      <c r="W274" s="9" t="inlineStr"/>
      <c r="X274" s="9" t="inlineStr"/>
      <c r="Y274" s="9" t="inlineStr"/>
      <c r="Z274" s="9" t="inlineStr"/>
      <c r="AA274" s="9" t="inlineStr"/>
      <c r="AB274" s="9" t="inlineStr"/>
      <c r="AC274" s="9" t="inlineStr"/>
      <c r="AD274" s="9" t="inlineStr"/>
      <c r="AE274" s="9" t="inlineStr"/>
      <c r="AF274" s="9" t="inlineStr"/>
      <c r="AG274" s="9" t="inlineStr"/>
      <c r="AH274" s="9" t="inlineStr"/>
      <c r="AI274" s="9" t="inlineStr"/>
      <c r="AJ274" s="9" t="inlineStr"/>
    </row>
    <row r="275">
      <c r="A275" s="1" t="inlineStr">
        <is>
          <t>38570-1</t>
        </is>
      </c>
      <c r="B275" s="1" t="inlineStr">
        <is>
          <t>MATSUNO SH</t>
        </is>
      </c>
      <c r="C275" s="1" t="inlineStr"/>
      <c r="D275" s="1" t="inlineStr"/>
      <c r="E275" s="1" t="n"/>
      <c r="F275" s="4" t="inlineStr">
        <is>
          <t>MATSUNOSH</t>
        </is>
      </c>
      <c r="G275" s="4" t="inlineStr">
        <is>
          <t>SH</t>
        </is>
      </c>
      <c r="H275" s="4" t="inlineStr">
        <is>
          <t>機種：</t>
        </is>
      </c>
      <c r="I275" s="4" t="inlineStr">
        <is>
          <t>787</t>
        </is>
      </c>
      <c r="J275" s="4" t="inlineStr">
        <is>
          <t>ランク：</t>
        </is>
      </c>
      <c r="K275" s="4" t="inlineStr">
        <is>
          <t>CAP</t>
        </is>
      </c>
      <c r="L275" s="4" t="inlineStr">
        <is>
          <t>期：</t>
        </is>
      </c>
      <c r="M275" s="4" t="inlineStr">
        <is>
          <t>職番：</t>
        </is>
      </c>
      <c r="N275" s="4" t="inlineStr">
        <is>
          <t>00038570</t>
        </is>
      </c>
      <c r="O275" s="4" t="inlineStr">
        <is>
          <t>所属：</t>
        </is>
      </c>
      <c r="P275" s="4" t="inlineStr">
        <is>
          <t>NTZF01</t>
        </is>
      </c>
      <c r="Q275" s="4" t="inlineStr">
        <is>
          <t>CAT資：</t>
        </is>
      </c>
      <c r="R275" s="4" t="inlineStr">
        <is>
          <t>CAT3</t>
        </is>
      </c>
      <c r="S275" s="4" t="inlineStr">
        <is>
          <t>T/O：</t>
        </is>
      </c>
      <c r="T275" s="4" t="inlineStr">
        <is>
          <t>3T250917</t>
        </is>
      </c>
      <c r="U275" s="4" t="inlineStr">
        <is>
          <t>L/D：</t>
        </is>
      </c>
      <c r="V275" s="4" t="inlineStr">
        <is>
          <t>3L250917</t>
        </is>
      </c>
      <c r="W275" s="4" t="inlineStr">
        <is>
          <t>PE：</t>
        </is>
      </c>
      <c r="X275" s="5" t="inlineStr">
        <is>
          <t>PE251016</t>
        </is>
      </c>
      <c r="Y275" s="4" t="inlineStr">
        <is>
          <t>誕生月：</t>
        </is>
      </c>
      <c r="Z275" s="4" t="inlineStr">
        <is>
          <t>03</t>
        </is>
      </c>
      <c r="AA275" s="6" t="inlineStr">
        <is>
          <t>電話：</t>
        </is>
      </c>
      <c r="AB275" s="6" t="inlineStr">
        <is>
          <t>090-8840-5634</t>
        </is>
      </c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1" t="inlineStr">
        <is>
          <t>38570-2</t>
        </is>
      </c>
      <c r="B276" s="1" t="inlineStr">
        <is>
          <t>MATSUNO SH</t>
        </is>
      </c>
      <c r="C276" s="1" t="inlineStr"/>
      <c r="D276" s="1" t="inlineStr"/>
      <c r="E276" s="1" t="n"/>
      <c r="F276" s="7" t="inlineStr">
        <is>
          <t>01</t>
        </is>
      </c>
      <c r="G276" s="7" t="inlineStr">
        <is>
          <t>02</t>
        </is>
      </c>
      <c r="H276" s="7" t="inlineStr">
        <is>
          <t>03</t>
        </is>
      </c>
      <c r="I276" s="7" t="inlineStr">
        <is>
          <t>04</t>
        </is>
      </c>
      <c r="J276" s="10" t="inlineStr">
        <is>
          <t>05</t>
        </is>
      </c>
      <c r="K276" s="8" t="inlineStr">
        <is>
          <t>06</t>
        </is>
      </c>
      <c r="L276" s="7" t="inlineStr">
        <is>
          <t>07</t>
        </is>
      </c>
      <c r="M276" s="8" t="inlineStr">
        <is>
          <t>08</t>
        </is>
      </c>
      <c r="N276" s="7" t="inlineStr">
        <is>
          <t>09</t>
        </is>
      </c>
      <c r="O276" s="7" t="inlineStr">
        <is>
          <t>10</t>
        </is>
      </c>
      <c r="P276" s="7" t="inlineStr">
        <is>
          <t>11</t>
        </is>
      </c>
      <c r="Q276" s="7" t="inlineStr">
        <is>
          <t>12</t>
        </is>
      </c>
      <c r="R276" s="7" t="inlineStr">
        <is>
          <t>13</t>
        </is>
      </c>
      <c r="S276" s="7" t="inlineStr">
        <is>
          <t>14</t>
        </is>
      </c>
      <c r="T276" s="8" t="inlineStr">
        <is>
          <t>15</t>
        </is>
      </c>
      <c r="U276" s="8" t="inlineStr">
        <is>
          <t>16</t>
        </is>
      </c>
      <c r="V276" s="7" t="inlineStr">
        <is>
          <t>17</t>
        </is>
      </c>
      <c r="W276" s="7" t="inlineStr">
        <is>
          <t>18</t>
        </is>
      </c>
      <c r="X276" s="7" t="inlineStr">
        <is>
          <t>19</t>
        </is>
      </c>
      <c r="Y276" s="8" t="inlineStr">
        <is>
          <t>20</t>
        </is>
      </c>
      <c r="Z276" s="7" t="inlineStr">
        <is>
          <t>21</t>
        </is>
      </c>
      <c r="AA276" s="8" t="inlineStr">
        <is>
          <t>22</t>
        </is>
      </c>
      <c r="AB276" s="7" t="inlineStr">
        <is>
          <t>23</t>
        </is>
      </c>
      <c r="AC276" s="7" t="inlineStr">
        <is>
          <t>24</t>
        </is>
      </c>
      <c r="AD276" s="7" t="inlineStr">
        <is>
          <t>25</t>
        </is>
      </c>
      <c r="AE276" s="7" t="inlineStr">
        <is>
          <t>26</t>
        </is>
      </c>
      <c r="AF276" s="7" t="inlineStr">
        <is>
          <t>27</t>
        </is>
      </c>
      <c r="AG276" s="7" t="inlineStr">
        <is>
          <t>28</t>
        </is>
      </c>
      <c r="AH276" s="7" t="inlineStr">
        <is>
          <t>29</t>
        </is>
      </c>
      <c r="AI276" s="7" t="inlineStr">
        <is>
          <t>30</t>
        </is>
      </c>
      <c r="AJ276" s="7" t="inlineStr">
        <is>
          <t>31</t>
        </is>
      </c>
    </row>
    <row r="277">
      <c r="A277" s="1" t="inlineStr">
        <is>
          <t>38570-3</t>
        </is>
      </c>
      <c r="B277" s="1" t="inlineStr">
        <is>
          <t>MATSUNO SH</t>
        </is>
      </c>
      <c r="C277" s="1" t="inlineStr"/>
      <c r="D277" s="1" t="inlineStr"/>
      <c r="E277" s="1" t="n"/>
      <c r="F277" s="9" t="inlineStr">
        <is>
          <t>BT</t>
        </is>
      </c>
      <c r="G277" s="9" t="inlineStr">
        <is>
          <t>NTZF1</t>
        </is>
      </c>
      <c r="H277" s="9" t="inlineStr">
        <is>
          <t>H</t>
        </is>
      </c>
      <c r="I277" s="9" t="inlineStr">
        <is>
          <t>H</t>
        </is>
      </c>
      <c r="J277" s="9" t="inlineStr">
        <is>
          <t>M21
ISR
#2
11:00-15:00</t>
        </is>
      </c>
      <c r="K277" s="9" t="inlineStr">
        <is>
          <t>37
CMD ISR</t>
        </is>
      </c>
      <c r="L277" s="9" t="inlineStr">
        <is>
          <t>---</t>
        </is>
      </c>
      <c r="M277" s="9" t="inlineStr">
        <is>
          <t>36
CMD ISR</t>
        </is>
      </c>
      <c r="N277" s="9" t="inlineStr">
        <is>
          <t>H</t>
        </is>
      </c>
      <c r="O277" s="9" t="inlineStr">
        <is>
          <t>H</t>
        </is>
      </c>
      <c r="P277" s="9" t="inlineStr">
        <is>
          <t>NTZF1</t>
        </is>
      </c>
      <c r="Q277" s="9" t="inlineStr">
        <is>
          <t>H</t>
        </is>
      </c>
      <c r="R277" s="9" t="inlineStr">
        <is>
          <t>H</t>
        </is>
      </c>
      <c r="S277" s="9" t="inlineStr">
        <is>
          <t>NTZF1</t>
        </is>
      </c>
      <c r="T277" s="9" t="inlineStr">
        <is>
          <t>25
RMD ISR</t>
        </is>
      </c>
      <c r="U277" s="9" t="inlineStr">
        <is>
          <t>20
RMD ISR</t>
        </is>
      </c>
      <c r="V277" s="9" t="inlineStr">
        <is>
          <t>H</t>
        </is>
      </c>
      <c r="W277" s="9" t="inlineStr">
        <is>
          <t>NTZF1</t>
        </is>
      </c>
      <c r="X277" s="9" t="inlineStr">
        <is>
          <t>NTZF1</t>
        </is>
      </c>
      <c r="Y277" s="9" t="inlineStr">
        <is>
          <t>725
CAUG ISR</t>
        </is>
      </c>
      <c r="Z277" s="9" t="inlineStr">
        <is>
          <t>---</t>
        </is>
      </c>
      <c r="AA277" s="9" t="inlineStr">
        <is>
          <t>726
CAUG ISR</t>
        </is>
      </c>
      <c r="AB277" s="9" t="inlineStr">
        <is>
          <t>*H</t>
        </is>
      </c>
      <c r="AC277" s="9" t="inlineStr">
        <is>
          <t>NTZF1</t>
        </is>
      </c>
      <c r="AD277" s="9" t="inlineStr">
        <is>
          <t>HH</t>
        </is>
      </c>
      <c r="AE277" s="9" t="inlineStr">
        <is>
          <t>HH</t>
        </is>
      </c>
      <c r="AF277" s="9" t="inlineStr">
        <is>
          <t>NTZF1</t>
        </is>
      </c>
      <c r="AG277" s="9" t="inlineStr">
        <is>
          <t>BT</t>
        </is>
      </c>
      <c r="AH277" s="9" t="inlineStr">
        <is>
          <t>BT</t>
        </is>
      </c>
      <c r="AI277" s="9" t="inlineStr">
        <is>
          <t>BT</t>
        </is>
      </c>
      <c r="AJ277" s="9" t="inlineStr">
        <is>
          <t>BT</t>
        </is>
      </c>
    </row>
    <row r="278">
      <c r="A278" s="1" t="inlineStr">
        <is>
          <t>38570-4</t>
        </is>
      </c>
      <c r="B278" s="1" t="inlineStr">
        <is>
          <t>MATSUNO SH</t>
        </is>
      </c>
      <c r="C278" s="1" t="inlineStr"/>
      <c r="D278" s="1" t="inlineStr"/>
      <c r="E278" s="1" t="n"/>
      <c r="F278" s="9" t="inlineStr"/>
      <c r="G278" s="9" t="inlineStr"/>
      <c r="H278" s="9" t="inlineStr"/>
      <c r="I278" s="9" t="inlineStr"/>
      <c r="J278" s="9" t="inlineStr"/>
      <c r="K278" s="9">
        <f>HYPERLINK("#Schedule!F425", "KIMURAYU (53824)")</f>
        <v/>
      </c>
      <c r="L278" s="9" t="inlineStr"/>
      <c r="M278" s="9">
        <f>HYPERLINK("#Schedule!F425", "KIMURAYU (53824)")</f>
        <v/>
      </c>
      <c r="N278" s="9" t="inlineStr"/>
      <c r="O278" s="9" t="inlineStr"/>
      <c r="P278" s="9" t="inlineStr"/>
      <c r="Q278" s="9" t="inlineStr"/>
      <c r="R278" s="9" t="inlineStr"/>
      <c r="S278" s="9" t="inlineStr"/>
      <c r="T278" s="9">
        <f>HYPERLINK("#Schedule!F299", "OZAWAKO (41266)")</f>
        <v/>
      </c>
      <c r="U278" s="9">
        <f>HYPERLINK("#Schedule!F299", "OZAWAKO (41266)")</f>
        <v/>
      </c>
      <c r="V278" s="9" t="inlineStr"/>
      <c r="W278" s="9" t="inlineStr"/>
      <c r="X278" s="9" t="inlineStr"/>
      <c r="Y278" s="9">
        <f>HYPERLINK("#Schedule!F346", "KOIZUMIKE (53825)")</f>
        <v/>
      </c>
      <c r="Z278" s="9" t="inlineStr"/>
      <c r="AA278" s="9">
        <f>HYPERLINK("#Schedule!F346", "KOIZUMIKE (53825)")</f>
        <v/>
      </c>
      <c r="AB278" s="9" t="inlineStr"/>
      <c r="AC278" s="9" t="inlineStr"/>
      <c r="AD278" s="9" t="inlineStr"/>
      <c r="AE278" s="9" t="inlineStr"/>
      <c r="AF278" s="9" t="inlineStr"/>
      <c r="AG278" s="9" t="inlineStr"/>
      <c r="AH278" s="9" t="inlineStr"/>
      <c r="AI278" s="9" t="inlineStr"/>
      <c r="AJ278" s="9" t="inlineStr"/>
    </row>
    <row r="279">
      <c r="A279" s="1" t="inlineStr">
        <is>
          <t>41572-1</t>
        </is>
      </c>
      <c r="B279" s="1" t="inlineStr">
        <is>
          <t>KISHI TA</t>
        </is>
      </c>
      <c r="C279" s="1" t="inlineStr"/>
      <c r="D279" s="1" t="inlineStr"/>
      <c r="E279" s="1" t="n"/>
      <c r="F279" s="4" t="inlineStr">
        <is>
          <t>KISHITA</t>
        </is>
      </c>
      <c r="G279" s="4" t="inlineStr">
        <is>
          <t>TA</t>
        </is>
      </c>
      <c r="H279" s="4" t="inlineStr">
        <is>
          <t>機種：</t>
        </is>
      </c>
      <c r="I279" s="4" t="inlineStr">
        <is>
          <t>787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00041572</t>
        </is>
      </c>
      <c r="O279" s="4" t="inlineStr">
        <is>
          <t>所属：</t>
        </is>
      </c>
      <c r="P279" s="4" t="inlineStr">
        <is>
          <t>NTZF01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3T250820</t>
        </is>
      </c>
      <c r="U279" s="4" t="inlineStr">
        <is>
          <t>L/D：</t>
        </is>
      </c>
      <c r="V279" s="4" t="inlineStr">
        <is>
          <t>3L250819</t>
        </is>
      </c>
      <c r="W279" s="4" t="inlineStr">
        <is>
          <t>PE：</t>
        </is>
      </c>
      <c r="X279" s="5" t="inlineStr">
        <is>
          <t>PE250819</t>
        </is>
      </c>
      <c r="Y279" s="4" t="inlineStr">
        <is>
          <t>誕生月：</t>
        </is>
      </c>
      <c r="Z279" s="4" t="inlineStr">
        <is>
          <t>09</t>
        </is>
      </c>
      <c r="AA279" s="6" t="inlineStr">
        <is>
          <t>電話：</t>
        </is>
      </c>
      <c r="AB279" s="6" t="inlineStr">
        <is>
          <t>090-4376-1198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1" t="inlineStr">
        <is>
          <t>41572-2</t>
        </is>
      </c>
      <c r="B280" s="1" t="inlineStr">
        <is>
          <t>KISHI TA</t>
        </is>
      </c>
      <c r="C280" s="1" t="inlineStr"/>
      <c r="D280" s="1" t="inlineStr"/>
      <c r="E280" s="1" t="n"/>
      <c r="F280" s="13" t="inlineStr">
        <is>
          <t>01</t>
        </is>
      </c>
      <c r="G280" s="13" t="inlineStr">
        <is>
          <t>02</t>
        </is>
      </c>
      <c r="H280" s="13" t="inlineStr">
        <is>
          <t>03</t>
        </is>
      </c>
      <c r="I280" s="13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13" t="inlineStr">
        <is>
          <t>07</t>
        </is>
      </c>
      <c r="M280" s="13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8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41572-3</t>
        </is>
      </c>
      <c r="B281" s="1" t="inlineStr">
        <is>
          <t>KISHI TA</t>
        </is>
      </c>
      <c r="C281" s="1" t="inlineStr"/>
      <c r="D281" s="1" t="inlineStr"/>
      <c r="E281" s="1" t="n"/>
      <c r="F281" s="9" t="inlineStr">
        <is>
          <t>SS</t>
        </is>
      </c>
      <c r="G281" s="9" t="inlineStr">
        <is>
          <t>SS</t>
        </is>
      </c>
      <c r="H281" s="9" t="inlineStr">
        <is>
          <t>SS</t>
        </is>
      </c>
      <c r="I281" s="9" t="inlineStr">
        <is>
          <t>SS</t>
        </is>
      </c>
      <c r="J281" s="9" t="inlineStr">
        <is>
          <t>HH</t>
        </is>
      </c>
      <c r="K281" s="9" t="inlineStr">
        <is>
          <t>HH</t>
        </is>
      </c>
      <c r="L281" s="9" t="inlineStr">
        <is>
          <t>SS</t>
        </is>
      </c>
      <c r="M281" s="9" t="inlineStr">
        <is>
          <t>SS</t>
        </is>
      </c>
      <c r="N281" s="9" t="inlineStr">
        <is>
          <t>CATR
ISR
#1
11:00-15:00
CATR/CHK</t>
        </is>
      </c>
      <c r="O281" s="9" t="inlineStr">
        <is>
          <t>H/VAC</t>
        </is>
      </c>
      <c r="P281" s="9" t="inlineStr">
        <is>
          <t>NTZF1</t>
        </is>
      </c>
      <c r="Q281" s="9" t="inlineStr">
        <is>
          <t>H/VAC</t>
        </is>
      </c>
      <c r="R281" s="9" t="inlineStr">
        <is>
          <t>H/VAC</t>
        </is>
      </c>
      <c r="S281" s="9" t="inlineStr">
        <is>
          <t>NTZF1</t>
        </is>
      </c>
      <c r="T281" s="9" t="inlineStr">
        <is>
          <t>MTG1</t>
        </is>
      </c>
      <c r="U281" s="9" t="inlineStr">
        <is>
          <t>NTW1</t>
        </is>
      </c>
      <c r="V281" s="9" t="inlineStr">
        <is>
          <t>H</t>
        </is>
      </c>
      <c r="W281" s="9" t="inlineStr">
        <is>
          <t>NTZF1</t>
        </is>
      </c>
      <c r="X281" s="9" t="inlineStr">
        <is>
          <t>NTZF1</t>
        </is>
      </c>
      <c r="Y281" s="9" t="inlineStr">
        <is>
          <t>97
LEF ISR
98
LEF ISR</t>
        </is>
      </c>
      <c r="Z281" s="9" t="inlineStr">
        <is>
          <t>H</t>
        </is>
      </c>
      <c r="AA281" s="9" t="inlineStr">
        <is>
          <t>PE
PE TRN
PE
PE TRN</t>
        </is>
      </c>
      <c r="AB281" s="9" t="inlineStr">
        <is>
          <t>H</t>
        </is>
      </c>
      <c r="AC281" s="9" t="inlineStr">
        <is>
          <t>NTZF1</t>
        </is>
      </c>
      <c r="AD281" s="9" t="inlineStr">
        <is>
          <t>H</t>
        </is>
      </c>
      <c r="AE281" s="9" t="inlineStr">
        <is>
          <t>H</t>
        </is>
      </c>
      <c r="AF281" s="9" t="inlineStr">
        <is>
          <t>NTZF1</t>
        </is>
      </c>
      <c r="AG281" s="9" t="inlineStr">
        <is>
          <t>BT</t>
        </is>
      </c>
      <c r="AH281" s="9" t="inlineStr">
        <is>
          <t>BT</t>
        </is>
      </c>
      <c r="AI281" s="9" t="inlineStr">
        <is>
          <t>BT</t>
        </is>
      </c>
      <c r="AJ281" s="9" t="inlineStr">
        <is>
          <t>BT</t>
        </is>
      </c>
    </row>
    <row r="282">
      <c r="A282" s="1" t="inlineStr">
        <is>
          <t>41572-4</t>
        </is>
      </c>
      <c r="B282" s="1" t="inlineStr">
        <is>
          <t>KISHI TA</t>
        </is>
      </c>
      <c r="C282" s="1" t="inlineStr"/>
      <c r="D282" s="1" t="inlineStr"/>
      <c r="E282" s="1" t="n"/>
      <c r="F282" s="9" t="inlineStr"/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>
        <f>HYPERLINK("#Schedule!F15", "I沼田KE (41168)")</f>
        <v/>
      </c>
      <c r="O282" s="9" t="inlineStr"/>
      <c r="P282" s="9" t="inlineStr"/>
      <c r="Q282" s="9" t="inlineStr"/>
      <c r="R282" s="9" t="inlineStr"/>
      <c r="S282" s="9" t="inlineStr"/>
      <c r="T282" s="9" t="inlineStr"/>
      <c r="U282" s="9" t="inlineStr"/>
      <c r="V282" s="9" t="inlineStr"/>
      <c r="W282" s="9" t="inlineStr"/>
      <c r="X282" s="9" t="inlineStr"/>
      <c r="Y282" s="9" t="inlineStr"/>
      <c r="Z282" s="9" t="inlineStr"/>
      <c r="AA282" s="9" t="inlineStr"/>
      <c r="AB282" s="9" t="inlineStr"/>
      <c r="AC282" s="9" t="inlineStr"/>
      <c r="AD282" s="9" t="inlineStr"/>
      <c r="AE282" s="9" t="inlineStr"/>
      <c r="AF282" s="9" t="inlineStr"/>
      <c r="AG282" s="9" t="inlineStr"/>
      <c r="AH282" s="9" t="inlineStr"/>
      <c r="AI282" s="9" t="inlineStr"/>
      <c r="AJ282" s="9" t="inlineStr"/>
    </row>
    <row r="283">
      <c r="A283" s="1" t="inlineStr">
        <is>
          <t>41572-5</t>
        </is>
      </c>
      <c r="B283" s="1" t="inlineStr">
        <is>
          <t>KISHI TA</t>
        </is>
      </c>
      <c r="C283" s="1" t="inlineStr"/>
      <c r="D283" s="1" t="inlineStr"/>
      <c r="E283" s="1" t="n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>
        <f>HYPERLINK("#Schedule!F69", "I古川 DA (41218)")</f>
        <v/>
      </c>
      <c r="O283" s="9" t="inlineStr"/>
      <c r="P283" s="9" t="inlineStr"/>
      <c r="Q283" s="9" t="inlineStr"/>
      <c r="R283" s="9" t="inlineStr"/>
      <c r="S283" s="9" t="inlineStr"/>
      <c r="T283" s="9" t="inlineStr"/>
      <c r="U283" s="9" t="inlineStr"/>
      <c r="V283" s="9" t="inlineStr"/>
      <c r="W283" s="9" t="inlineStr"/>
      <c r="X283" s="9" t="inlineStr"/>
      <c r="Y283" s="9" t="inlineStr"/>
      <c r="Z283" s="9" t="inlineStr"/>
      <c r="AA283" s="9" t="inlineStr"/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9" t="inlineStr"/>
      <c r="AJ283" s="9" t="inlineStr"/>
    </row>
    <row r="284">
      <c r="A284" s="1" t="inlineStr">
        <is>
          <t>43997-1</t>
        </is>
      </c>
      <c r="B284" s="1" t="inlineStr">
        <is>
          <t>KASE GI</t>
        </is>
      </c>
      <c r="C284" s="1" t="inlineStr"/>
      <c r="D284" s="1" t="inlineStr"/>
      <c r="E284" s="1" t="n"/>
      <c r="F284" s="4" t="inlineStr">
        <is>
          <t>KASEGI</t>
        </is>
      </c>
      <c r="G284" s="4" t="inlineStr">
        <is>
          <t>GI</t>
        </is>
      </c>
      <c r="H284" s="4" t="inlineStr">
        <is>
          <t>機種：</t>
        </is>
      </c>
      <c r="I284" s="4" t="inlineStr">
        <is>
          <t>787</t>
        </is>
      </c>
      <c r="J284" s="4" t="inlineStr">
        <is>
          <t>ランク：</t>
        </is>
      </c>
      <c r="K284" s="4" t="inlineStr">
        <is>
          <t>CAP</t>
        </is>
      </c>
      <c r="L284" s="4" t="inlineStr">
        <is>
          <t>期：</t>
        </is>
      </c>
      <c r="M284" s="4" t="inlineStr">
        <is>
          <t>職番：</t>
        </is>
      </c>
      <c r="N284" s="4" t="inlineStr">
        <is>
          <t>00043997</t>
        </is>
      </c>
      <c r="O284" s="4" t="inlineStr">
        <is>
          <t>所属：</t>
        </is>
      </c>
      <c r="P284" s="4" t="inlineStr">
        <is>
          <t>NTZF02</t>
        </is>
      </c>
      <c r="Q284" s="4" t="inlineStr">
        <is>
          <t>CAT資：</t>
        </is>
      </c>
      <c r="R284" s="4" t="inlineStr">
        <is>
          <t>CAT3</t>
        </is>
      </c>
      <c r="S284" s="4" t="inlineStr">
        <is>
          <t>T/O：</t>
        </is>
      </c>
      <c r="T284" s="4" t="inlineStr">
        <is>
          <t>3T250906</t>
        </is>
      </c>
      <c r="U284" s="4" t="inlineStr">
        <is>
          <t>L/D：</t>
        </is>
      </c>
      <c r="V284" s="4" t="inlineStr">
        <is>
          <t>3L250906</t>
        </is>
      </c>
      <c r="W284" s="4" t="inlineStr">
        <is>
          <t>PE：</t>
        </is>
      </c>
      <c r="X284" s="5" t="inlineStr">
        <is>
          <t>PE250917</t>
        </is>
      </c>
      <c r="Y284" s="4" t="inlineStr">
        <is>
          <t>誕生月：</t>
        </is>
      </c>
      <c r="Z284" s="4" t="inlineStr">
        <is>
          <t>09</t>
        </is>
      </c>
      <c r="AA284" s="6" t="inlineStr">
        <is>
          <t>電話：</t>
        </is>
      </c>
      <c r="AB284" s="6" t="inlineStr">
        <is>
          <t>090-9565-3931</t>
        </is>
      </c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</row>
    <row r="285">
      <c r="A285" s="1" t="inlineStr">
        <is>
          <t>43997-2</t>
        </is>
      </c>
      <c r="B285" s="1" t="inlineStr">
        <is>
          <t>KASE GI</t>
        </is>
      </c>
      <c r="C285" s="1" t="inlineStr"/>
      <c r="D285" s="1" t="inlineStr"/>
      <c r="E285" s="1" t="n"/>
      <c r="F285" s="7" t="inlineStr">
        <is>
          <t>01</t>
        </is>
      </c>
      <c r="G285" s="7" t="inlineStr">
        <is>
          <t>02</t>
        </is>
      </c>
      <c r="H285" s="7" t="inlineStr">
        <is>
          <t>03</t>
        </is>
      </c>
      <c r="I285" s="7" t="inlineStr">
        <is>
          <t>04</t>
        </is>
      </c>
      <c r="J285" s="7" t="inlineStr">
        <is>
          <t>05</t>
        </is>
      </c>
      <c r="K285" s="7" t="inlineStr">
        <is>
          <t>06</t>
        </is>
      </c>
      <c r="L285" s="7" t="inlineStr">
        <is>
          <t>07</t>
        </is>
      </c>
      <c r="M285" s="7" t="inlineStr">
        <is>
          <t>08</t>
        </is>
      </c>
      <c r="N285" s="7" t="inlineStr">
        <is>
          <t>09</t>
        </is>
      </c>
      <c r="O285" s="7" t="inlineStr">
        <is>
          <t>10</t>
        </is>
      </c>
      <c r="P285" s="7" t="inlineStr">
        <is>
          <t>11</t>
        </is>
      </c>
      <c r="Q285" s="7" t="inlineStr">
        <is>
          <t>12</t>
        </is>
      </c>
      <c r="R285" s="7" t="inlineStr">
        <is>
          <t>13</t>
        </is>
      </c>
      <c r="S285" s="8" t="inlineStr">
        <is>
          <t>14</t>
        </is>
      </c>
      <c r="T285" s="8" t="inlineStr">
        <is>
          <t>15</t>
        </is>
      </c>
      <c r="U285" s="7" t="inlineStr">
        <is>
          <t>16</t>
        </is>
      </c>
      <c r="V285" s="7" t="inlineStr">
        <is>
          <t>17</t>
        </is>
      </c>
      <c r="W285" s="7" t="inlineStr">
        <is>
          <t>18</t>
        </is>
      </c>
      <c r="X285" s="7" t="inlineStr">
        <is>
          <t>19</t>
        </is>
      </c>
      <c r="Y285" s="7" t="inlineStr">
        <is>
          <t>20</t>
        </is>
      </c>
      <c r="Z285" s="7" t="inlineStr">
        <is>
          <t>21</t>
        </is>
      </c>
      <c r="AA285" s="13" t="inlineStr">
        <is>
          <t>22</t>
        </is>
      </c>
      <c r="AB285" s="7" t="inlineStr">
        <is>
          <t>23</t>
        </is>
      </c>
      <c r="AC285" s="8" t="inlineStr">
        <is>
          <t>24</t>
        </is>
      </c>
      <c r="AD285" s="8" t="inlineStr">
        <is>
          <t>25</t>
        </is>
      </c>
      <c r="AE285" s="7" t="inlineStr">
        <is>
          <t>26</t>
        </is>
      </c>
      <c r="AF285" s="7" t="inlineStr">
        <is>
          <t>27</t>
        </is>
      </c>
      <c r="AG285" s="7" t="inlineStr">
        <is>
          <t>28</t>
        </is>
      </c>
      <c r="AH285" s="7" t="inlineStr">
        <is>
          <t>29</t>
        </is>
      </c>
      <c r="AI285" s="7" t="inlineStr">
        <is>
          <t>30</t>
        </is>
      </c>
      <c r="AJ285" s="7" t="inlineStr">
        <is>
          <t>31</t>
        </is>
      </c>
    </row>
    <row r="286">
      <c r="A286" s="1" t="inlineStr">
        <is>
          <t>43997-3</t>
        </is>
      </c>
      <c r="B286" s="1" t="inlineStr">
        <is>
          <t>KASE GI</t>
        </is>
      </c>
      <c r="C286" s="1" t="inlineStr"/>
      <c r="D286" s="1" t="inlineStr"/>
      <c r="E286" s="1" t="n"/>
      <c r="F286" s="9" t="inlineStr">
        <is>
          <t>H</t>
        </is>
      </c>
      <c r="G286" s="9" t="inlineStr">
        <is>
          <t>NTZF1</t>
        </is>
      </c>
      <c r="H286" s="9" t="inlineStr">
        <is>
          <t>59</t>
        </is>
      </c>
      <c r="I286" s="9" t="inlineStr">
        <is>
          <t>---</t>
        </is>
      </c>
      <c r="J286" s="9" t="inlineStr">
        <is>
          <t>---</t>
        </is>
      </c>
      <c r="K286" s="9" t="inlineStr">
        <is>
          <t>---</t>
        </is>
      </c>
      <c r="L286" s="9" t="inlineStr">
        <is>
          <t>50</t>
        </is>
      </c>
      <c r="M286" s="9" t="inlineStr">
        <is>
          <t>*H</t>
        </is>
      </c>
      <c r="N286" s="9" t="inlineStr">
        <is>
          <t>NTZF1</t>
        </is>
      </c>
      <c r="O286" s="9" t="inlineStr">
        <is>
          <t>H</t>
        </is>
      </c>
      <c r="P286" s="9" t="inlineStr">
        <is>
          <t>H/VAC</t>
        </is>
      </c>
      <c r="Q286" s="9" t="inlineStr">
        <is>
          <t>HH</t>
        </is>
      </c>
      <c r="R286" s="9" t="inlineStr">
        <is>
          <t>VAC</t>
        </is>
      </c>
      <c r="S286" s="9" t="inlineStr">
        <is>
          <t>101
VLDP ISR
106
VLDP ISR
113
VLDP ISR</t>
        </is>
      </c>
      <c r="T286" s="9" t="inlineStr">
        <is>
          <t>104
VLDP ISR
111
VLDP ISR
114
VLDP ISR</t>
        </is>
      </c>
      <c r="U286" s="9" t="inlineStr">
        <is>
          <t>NTZF1</t>
        </is>
      </c>
      <c r="V286" s="9" t="inlineStr">
        <is>
          <t>NTZF1</t>
        </is>
      </c>
      <c r="W286" s="9" t="inlineStr">
        <is>
          <t>H</t>
        </is>
      </c>
      <c r="X286" s="9" t="inlineStr">
        <is>
          <t>H</t>
        </is>
      </c>
      <c r="Y286" s="9" t="inlineStr">
        <is>
          <t>MTG1</t>
        </is>
      </c>
      <c r="Z286" s="9" t="inlineStr">
        <is>
          <t>MTG1</t>
        </is>
      </c>
      <c r="AA286" s="9" t="inlineStr">
        <is>
          <t>RCBT
CBT1 TRN
GS
GS-C TRN
DIT
DIT TRN</t>
        </is>
      </c>
      <c r="AB286" s="9" t="inlineStr">
        <is>
          <t>NTZF1</t>
        </is>
      </c>
      <c r="AC286" s="9" t="inlineStr">
        <is>
          <t>305
CMD ISR
308
CMD ISR
515
CMD ISR</t>
        </is>
      </c>
      <c r="AD286" s="9" t="inlineStr">
        <is>
          <t>514
CMD ISR</t>
        </is>
      </c>
      <c r="AE286" s="9" t="inlineStr">
        <is>
          <t>HH</t>
        </is>
      </c>
      <c r="AF286" s="9" t="inlineStr">
        <is>
          <t>H/VAC</t>
        </is>
      </c>
      <c r="AG286" s="9" t="inlineStr">
        <is>
          <t>H</t>
        </is>
      </c>
      <c r="AH286" s="9" t="inlineStr">
        <is>
          <t>GMT1</t>
        </is>
      </c>
      <c r="AI286" s="9" t="inlineStr">
        <is>
          <t>NTZF1</t>
        </is>
      </c>
      <c r="AJ286" s="9" t="inlineStr">
        <is>
          <t>R_</t>
        </is>
      </c>
    </row>
    <row r="287">
      <c r="A287" s="1" t="inlineStr">
        <is>
          <t>43997-4</t>
        </is>
      </c>
      <c r="B287" s="1" t="inlineStr">
        <is>
          <t>KASE GI</t>
        </is>
      </c>
      <c r="C287" s="1" t="inlineStr"/>
      <c r="D287" s="1" t="inlineStr"/>
      <c r="E287" s="1" t="n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9" t="inlineStr"/>
      <c r="Q287" s="9" t="inlineStr"/>
      <c r="R287" s="9" t="inlineStr"/>
      <c r="S287" s="9">
        <f>HYPERLINK("#Schedule!F388", "MOMOZAKIMA (53883)")</f>
        <v/>
      </c>
      <c r="T287" s="9">
        <f>HYPERLINK("#Schedule!F388", "MOMOZAKIMA (53883)")</f>
        <v/>
      </c>
      <c r="U287" s="9" t="inlineStr"/>
      <c r="V287" s="9" t="inlineStr"/>
      <c r="W287" s="9" t="inlineStr"/>
      <c r="X287" s="9" t="inlineStr"/>
      <c r="Y287" s="9" t="inlineStr"/>
      <c r="Z287" s="9" t="inlineStr"/>
      <c r="AA287" s="9" t="inlineStr"/>
      <c r="AB287" s="9" t="inlineStr"/>
      <c r="AC287" s="9" t="inlineStr">
        <is>
          <t>IWASAKIKA</t>
        </is>
      </c>
      <c r="AD287" s="9" t="inlineStr">
        <is>
          <t>IWASAKIKA</t>
        </is>
      </c>
      <c r="AE287" s="9" t="inlineStr"/>
      <c r="AF287" s="9" t="inlineStr"/>
      <c r="AG287" s="9" t="inlineStr"/>
      <c r="AH287" s="9" t="inlineStr"/>
      <c r="AI287" s="9" t="inlineStr"/>
      <c r="AJ287" s="9" t="inlineStr"/>
    </row>
    <row r="288">
      <c r="A288" s="1" t="inlineStr">
        <is>
          <t>37744-1</t>
        </is>
      </c>
      <c r="B288" s="1" t="inlineStr">
        <is>
          <t>TAKAMI KE</t>
        </is>
      </c>
      <c r="C288" s="1" t="inlineStr"/>
      <c r="D288" s="1" t="inlineStr"/>
      <c r="E288" s="1" t="n"/>
      <c r="F288" s="4" t="inlineStr">
        <is>
          <t>TAKAMIKE</t>
        </is>
      </c>
      <c r="G288" s="4" t="inlineStr">
        <is>
          <t>KE</t>
        </is>
      </c>
      <c r="H288" s="4" t="inlineStr">
        <is>
          <t>機種：</t>
        </is>
      </c>
      <c r="I288" s="4" t="inlineStr">
        <is>
          <t>787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00037744</t>
        </is>
      </c>
      <c r="O288" s="4" t="inlineStr">
        <is>
          <t>所属：</t>
        </is>
      </c>
      <c r="P288" s="4" t="inlineStr">
        <is>
          <t>NTZNT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3T250925</t>
        </is>
      </c>
      <c r="U288" s="4" t="inlineStr">
        <is>
          <t>L/D：</t>
        </is>
      </c>
      <c r="V288" s="4" t="inlineStr">
        <is>
          <t>3L250919</t>
        </is>
      </c>
      <c r="W288" s="4" t="inlineStr">
        <is>
          <t>PE：</t>
        </is>
      </c>
      <c r="X288" s="5" t="inlineStr">
        <is>
          <t>PE250816</t>
        </is>
      </c>
      <c r="Y288" s="4" t="inlineStr">
        <is>
          <t>誕生月：</t>
        </is>
      </c>
      <c r="Z288" s="4" t="inlineStr">
        <is>
          <t>05</t>
        </is>
      </c>
      <c r="AA288" s="6" t="inlineStr">
        <is>
          <t>電話：</t>
        </is>
      </c>
      <c r="AB288" s="6" t="inlineStr">
        <is>
          <t>045-893-7532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</row>
    <row r="289">
      <c r="A289" s="1" t="inlineStr">
        <is>
          <t>37744-2</t>
        </is>
      </c>
      <c r="B289" s="1" t="inlineStr">
        <is>
          <t>TAKAMI KE</t>
        </is>
      </c>
      <c r="C289" s="1" t="inlineStr"/>
      <c r="D289" s="1" t="inlineStr"/>
      <c r="E289" s="1" t="n"/>
      <c r="F289" s="7" t="inlineStr">
        <is>
          <t>01</t>
        </is>
      </c>
      <c r="G289" s="7" t="inlineStr">
        <is>
          <t>02</t>
        </is>
      </c>
      <c r="H289" s="8" t="inlineStr">
        <is>
          <t>03</t>
        </is>
      </c>
      <c r="I289" s="7" t="inlineStr">
        <is>
          <t>04</t>
        </is>
      </c>
      <c r="J289" s="8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8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7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7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7" t="inlineStr">
        <is>
          <t>30</t>
        </is>
      </c>
      <c r="AJ289" s="7" t="inlineStr">
        <is>
          <t>31</t>
        </is>
      </c>
    </row>
    <row r="290">
      <c r="A290" s="1" t="inlineStr">
        <is>
          <t>37744-3</t>
        </is>
      </c>
      <c r="B290" s="1" t="inlineStr">
        <is>
          <t>TAKAMI KE</t>
        </is>
      </c>
      <c r="C290" s="1" t="inlineStr"/>
      <c r="D290" s="1" t="inlineStr"/>
      <c r="E290" s="1" t="n"/>
      <c r="F290" s="9" t="inlineStr">
        <is>
          <t>*H</t>
        </is>
      </c>
      <c r="G290" s="9" t="inlineStr">
        <is>
          <t>PE
PE TRN
PE
PE TRN</t>
        </is>
      </c>
      <c r="H290" s="9" t="inlineStr">
        <is>
          <t>759
CAUG ISR</t>
        </is>
      </c>
      <c r="I290" s="9" t="inlineStr">
        <is>
          <t>---</t>
        </is>
      </c>
      <c r="J290" s="9" t="inlineStr">
        <is>
          <t>70
CAUG ISR</t>
        </is>
      </c>
      <c r="K290" s="9" t="inlineStr">
        <is>
          <t>*H</t>
        </is>
      </c>
      <c r="L290" s="9" t="inlineStr">
        <is>
          <t>H</t>
        </is>
      </c>
      <c r="M290" s="9" t="inlineStr">
        <is>
          <t>RF</t>
        </is>
      </c>
      <c r="N290" s="9" t="inlineStr">
        <is>
          <t>729
CMD ISR</t>
        </is>
      </c>
      <c r="O290" s="9" t="inlineStr">
        <is>
          <t>---</t>
        </is>
      </c>
      <c r="P290" s="9" t="inlineStr">
        <is>
          <t>720
CMD ISR</t>
        </is>
      </c>
      <c r="Q290" s="9" t="inlineStr">
        <is>
          <t>HH</t>
        </is>
      </c>
      <c r="R290" s="9" t="inlineStr">
        <is>
          <t>HH</t>
        </is>
      </c>
      <c r="S290" s="9" t="inlineStr">
        <is>
          <t>62</t>
        </is>
      </c>
      <c r="T290" s="9" t="inlineStr">
        <is>
          <t>---</t>
        </is>
      </c>
      <c r="U290" s="9" t="inlineStr">
        <is>
          <t>---</t>
        </is>
      </c>
      <c r="V290" s="9" t="inlineStr">
        <is>
          <t>61</t>
        </is>
      </c>
      <c r="W290" s="9" t="inlineStr">
        <is>
          <t>*H</t>
        </is>
      </c>
      <c r="X290" s="9" t="inlineStr">
        <is>
          <t>H/VAC</t>
        </is>
      </c>
      <c r="Y290" s="9" t="inlineStr">
        <is>
          <t>VAC</t>
        </is>
      </c>
      <c r="Z290" s="9" t="inlineStr">
        <is>
          <t>229DH</t>
        </is>
      </c>
      <c r="AA290" s="9" t="inlineStr">
        <is>
          <t>60</t>
        </is>
      </c>
      <c r="AB290" s="9" t="inlineStr">
        <is>
          <t>---</t>
        </is>
      </c>
      <c r="AC290" s="9" t="inlineStr">
        <is>
          <t>---</t>
        </is>
      </c>
      <c r="AD290" s="9" t="inlineStr">
        <is>
          <t>69
228DH</t>
        </is>
      </c>
      <c r="AE290" s="9" t="inlineStr">
        <is>
          <t>*H</t>
        </is>
      </c>
      <c r="AF290" s="9" t="inlineStr">
        <is>
          <t>H</t>
        </is>
      </c>
      <c r="AG290" s="9" t="inlineStr">
        <is>
          <t>H</t>
        </is>
      </c>
      <c r="AH290" s="9" t="inlineStr">
        <is>
          <t>GMT1</t>
        </is>
      </c>
      <c r="AI290" s="9" t="inlineStr">
        <is>
          <t>407</t>
        </is>
      </c>
      <c r="AJ290" s="9" t="inlineStr">
        <is>
          <t>---</t>
        </is>
      </c>
    </row>
    <row r="291">
      <c r="A291" s="1" t="inlineStr">
        <is>
          <t>37744-4</t>
        </is>
      </c>
      <c r="B291" s="1" t="inlineStr">
        <is>
          <t>TAKAMI KE</t>
        </is>
      </c>
      <c r="C291" s="1" t="inlineStr"/>
      <c r="D291" s="1" t="inlineStr"/>
      <c r="E291" s="1" t="n"/>
      <c r="F291" s="9" t="inlineStr"/>
      <c r="G291" s="9" t="inlineStr"/>
      <c r="H291" s="9" t="inlineStr">
        <is>
          <t>TOYAMASH</t>
        </is>
      </c>
      <c r="I291" s="9" t="inlineStr"/>
      <c r="J291" s="9" t="inlineStr">
        <is>
          <t>TOYAMASH</t>
        </is>
      </c>
      <c r="K291" s="9" t="inlineStr"/>
      <c r="L291" s="9" t="inlineStr"/>
      <c r="M291" s="9" t="inlineStr"/>
      <c r="N291" s="9">
        <f>HYPERLINK("#Schedule!F392", "HAYASAKAMA (44520)")</f>
        <v/>
      </c>
      <c r="O291" s="9" t="inlineStr"/>
      <c r="P291" s="9">
        <f>HYPERLINK("#Schedule!F392", "HAYASAKAMA (44520)")</f>
        <v/>
      </c>
      <c r="Q291" s="9" t="inlineStr"/>
      <c r="R291" s="9" t="inlineStr"/>
      <c r="S291" s="9" t="inlineStr"/>
      <c r="T291" s="9" t="inlineStr"/>
      <c r="U291" s="9" t="inlineStr"/>
      <c r="V291" s="9" t="inlineStr"/>
      <c r="W291" s="9" t="inlineStr"/>
      <c r="X291" s="9" t="inlineStr"/>
      <c r="Y291" s="9" t="inlineStr"/>
      <c r="Z291" s="9" t="inlineStr"/>
      <c r="AA291" s="9" t="inlineStr"/>
      <c r="AB291" s="9" t="inlineStr"/>
      <c r="AC291" s="9" t="inlineStr"/>
      <c r="AD291" s="9" t="inlineStr"/>
      <c r="AE291" s="9" t="inlineStr"/>
      <c r="AF291" s="9" t="inlineStr"/>
      <c r="AG291" s="9" t="inlineStr"/>
      <c r="AH291" s="9" t="inlineStr"/>
      <c r="AI291" s="9">
        <f>HYPERLINK("#Schedule!F187", "石川  (67667)")</f>
        <v/>
      </c>
      <c r="AJ291" s="9" t="inlineStr"/>
    </row>
    <row r="292">
      <c r="A292" s="1" t="inlineStr">
        <is>
          <t>36973-1</t>
        </is>
      </c>
      <c r="B292" s="1" t="inlineStr">
        <is>
          <t>FUKUMOTO AK</t>
        </is>
      </c>
      <c r="C292" s="1" t="inlineStr"/>
      <c r="D292" s="1" t="inlineStr"/>
      <c r="E292" s="1" t="n"/>
      <c r="F292" s="4" t="inlineStr">
        <is>
          <t>FUKUMOTOAK</t>
        </is>
      </c>
      <c r="G292" s="4" t="inlineStr">
        <is>
          <t>AK</t>
        </is>
      </c>
      <c r="H292" s="4" t="inlineStr">
        <is>
          <t>機種：</t>
        </is>
      </c>
      <c r="I292" s="4" t="inlineStr">
        <is>
          <t>787</t>
        </is>
      </c>
      <c r="J292" s="4" t="inlineStr">
        <is>
          <t>ランク：</t>
        </is>
      </c>
      <c r="K292" s="4" t="inlineStr">
        <is>
          <t>CAP</t>
        </is>
      </c>
      <c r="L292" s="4" t="inlineStr">
        <is>
          <t>期：</t>
        </is>
      </c>
      <c r="M292" s="4" t="inlineStr">
        <is>
          <t>職番：</t>
        </is>
      </c>
      <c r="N292" s="4" t="inlineStr">
        <is>
          <t>00036973</t>
        </is>
      </c>
      <c r="O292" s="4" t="inlineStr">
        <is>
          <t>所属：</t>
        </is>
      </c>
      <c r="P292" s="4" t="inlineStr">
        <is>
          <t>NWZ</t>
        </is>
      </c>
      <c r="Q292" s="4" t="inlineStr">
        <is>
          <t>CAT資：</t>
        </is>
      </c>
      <c r="R292" s="4" t="inlineStr">
        <is>
          <t>CAT3</t>
        </is>
      </c>
      <c r="S292" s="4" t="inlineStr">
        <is>
          <t>T/O：</t>
        </is>
      </c>
      <c r="T292" s="4" t="inlineStr">
        <is>
          <t>3T250912</t>
        </is>
      </c>
      <c r="U292" s="4" t="inlineStr">
        <is>
          <t>L/D：</t>
        </is>
      </c>
      <c r="V292" s="4" t="inlineStr">
        <is>
          <t>3L250913</t>
        </is>
      </c>
      <c r="W292" s="4" t="inlineStr">
        <is>
          <t>PE：</t>
        </is>
      </c>
      <c r="X292" s="5" t="inlineStr">
        <is>
          <t>PE250912</t>
        </is>
      </c>
      <c r="Y292" s="4" t="inlineStr">
        <is>
          <t>誕生月：</t>
        </is>
      </c>
      <c r="Z292" s="4" t="inlineStr">
        <is>
          <t>09</t>
        </is>
      </c>
      <c r="AA292" s="6" t="inlineStr">
        <is>
          <t>電話：</t>
        </is>
      </c>
      <c r="AB292" s="6" t="inlineStr">
        <is>
          <t>090-7847-5827</t>
        </is>
      </c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1" t="inlineStr">
        <is>
          <t>36973-2</t>
        </is>
      </c>
      <c r="B293" s="1" t="inlineStr">
        <is>
          <t>FUKUMOTO AK</t>
        </is>
      </c>
      <c r="C293" s="1" t="inlineStr"/>
      <c r="D293" s="1" t="inlineStr"/>
      <c r="E293" s="1" t="n"/>
      <c r="F293" s="7" t="inlineStr">
        <is>
          <t>01</t>
        </is>
      </c>
      <c r="G293" s="7" t="inlineStr">
        <is>
          <t>02</t>
        </is>
      </c>
      <c r="H293" s="7" t="inlineStr">
        <is>
          <t>03</t>
        </is>
      </c>
      <c r="I293" s="7" t="inlineStr">
        <is>
          <t>04</t>
        </is>
      </c>
      <c r="J293" s="7" t="inlineStr">
        <is>
          <t>05</t>
        </is>
      </c>
      <c r="K293" s="7" t="inlineStr">
        <is>
          <t>06</t>
        </is>
      </c>
      <c r="L293" s="7" t="inlineStr">
        <is>
          <t>07</t>
        </is>
      </c>
      <c r="M293" s="7" t="inlineStr">
        <is>
          <t>08</t>
        </is>
      </c>
      <c r="N293" s="7" t="inlineStr">
        <is>
          <t>09</t>
        </is>
      </c>
      <c r="O293" s="7" t="inlineStr">
        <is>
          <t>10</t>
        </is>
      </c>
      <c r="P293" s="7" t="inlineStr">
        <is>
          <t>11</t>
        </is>
      </c>
      <c r="Q293" s="7" t="inlineStr">
        <is>
          <t>12</t>
        </is>
      </c>
      <c r="R293" s="7" t="inlineStr">
        <is>
          <t>13</t>
        </is>
      </c>
      <c r="S293" s="7" t="inlineStr">
        <is>
          <t>14</t>
        </is>
      </c>
      <c r="T293" s="7" t="inlineStr">
        <is>
          <t>15</t>
        </is>
      </c>
      <c r="U293" s="13" t="inlineStr">
        <is>
          <t>16</t>
        </is>
      </c>
      <c r="V293" s="7" t="inlineStr">
        <is>
          <t>17</t>
        </is>
      </c>
      <c r="W293" s="7" t="inlineStr">
        <is>
          <t>18</t>
        </is>
      </c>
      <c r="X293" s="7" t="inlineStr">
        <is>
          <t>19</t>
        </is>
      </c>
      <c r="Y293" s="7" t="inlineStr">
        <is>
          <t>20</t>
        </is>
      </c>
      <c r="Z293" s="7" t="inlineStr">
        <is>
          <t>21</t>
        </is>
      </c>
      <c r="AA293" s="7" t="inlineStr">
        <is>
          <t>22</t>
        </is>
      </c>
      <c r="AB293" s="7" t="inlineStr">
        <is>
          <t>23</t>
        </is>
      </c>
      <c r="AC293" s="7" t="inlineStr">
        <is>
          <t>24</t>
        </is>
      </c>
      <c r="AD293" s="7" t="inlineStr">
        <is>
          <t>25</t>
        </is>
      </c>
      <c r="AE293" s="7" t="inlineStr">
        <is>
          <t>26</t>
        </is>
      </c>
      <c r="AF293" s="7" t="inlineStr">
        <is>
          <t>27</t>
        </is>
      </c>
      <c r="AG293" s="7" t="inlineStr">
        <is>
          <t>28</t>
        </is>
      </c>
      <c r="AH293" s="7" t="inlineStr">
        <is>
          <t>29</t>
        </is>
      </c>
      <c r="AI293" s="13" t="inlineStr">
        <is>
          <t>30</t>
        </is>
      </c>
      <c r="AJ293" s="7" t="inlineStr">
        <is>
          <t>31</t>
        </is>
      </c>
    </row>
    <row r="294">
      <c r="A294" s="1" t="inlineStr">
        <is>
          <t>36973-3</t>
        </is>
      </c>
      <c r="B294" s="1" t="inlineStr">
        <is>
          <t>FUKUMOTO AK</t>
        </is>
      </c>
      <c r="C294" s="1" t="inlineStr"/>
      <c r="D294" s="1" t="inlineStr"/>
      <c r="E294" s="1" t="n"/>
      <c r="F294" s="9" t="inlineStr">
        <is>
          <t>HH</t>
        </is>
      </c>
      <c r="G294" s="9" t="inlineStr">
        <is>
          <t>GJ1</t>
        </is>
      </c>
      <c r="H294" s="9" t="inlineStr">
        <is>
          <t>GJ0</t>
        </is>
      </c>
      <c r="I294" s="9" t="inlineStr">
        <is>
          <t>SKM1</t>
        </is>
      </c>
      <c r="J294" s="9" t="inlineStr">
        <is>
          <t>HH</t>
        </is>
      </c>
      <c r="K294" s="9" t="inlineStr">
        <is>
          <t>H</t>
        </is>
      </c>
      <c r="L294" s="9" t="inlineStr">
        <is>
          <t>H</t>
        </is>
      </c>
      <c r="M294" s="9" t="inlineStr">
        <is>
          <t>GJ1</t>
        </is>
      </c>
      <c r="N294" s="9" t="inlineStr">
        <is>
          <t>VAC</t>
        </is>
      </c>
      <c r="O294" s="9" t="inlineStr">
        <is>
          <t>VAC</t>
        </is>
      </c>
      <c r="P294" s="9" t="inlineStr">
        <is>
          <t>VAC</t>
        </is>
      </c>
      <c r="Q294" s="9" t="inlineStr">
        <is>
          <t>H</t>
        </is>
      </c>
      <c r="R294" s="9" t="inlineStr">
        <is>
          <t>H</t>
        </is>
      </c>
      <c r="S294" s="9" t="inlineStr">
        <is>
          <t>GJ1</t>
        </is>
      </c>
      <c r="T294" s="9" t="inlineStr">
        <is>
          <t>PLTR
BFG ISR
PLTR
BFG ISR</t>
        </is>
      </c>
      <c r="U294" s="9" t="inlineStr">
        <is>
          <t>EDU
PH TRN
GJ0</t>
        </is>
      </c>
      <c r="V294" s="9" t="inlineStr">
        <is>
          <t>GJ1</t>
        </is>
      </c>
      <c r="W294" s="9" t="inlineStr">
        <is>
          <t>GJ1</t>
        </is>
      </c>
      <c r="X294" s="9" t="inlineStr">
        <is>
          <t>H</t>
        </is>
      </c>
      <c r="Y294" s="9" t="inlineStr">
        <is>
          <t>H/VAC</t>
        </is>
      </c>
      <c r="Z294" s="9" t="inlineStr">
        <is>
          <t>GJ1</t>
        </is>
      </c>
      <c r="AA294" s="9" t="inlineStr">
        <is>
          <t>GJ1</t>
        </is>
      </c>
      <c r="AB294" s="9" t="inlineStr">
        <is>
          <t>25</t>
        </is>
      </c>
      <c r="AC294" s="9" t="inlineStr">
        <is>
          <t>20</t>
        </is>
      </c>
      <c r="AD294" s="9" t="inlineStr">
        <is>
          <t>H</t>
        </is>
      </c>
      <c r="AE294" s="9" t="inlineStr">
        <is>
          <t>GJ1</t>
        </is>
      </c>
      <c r="AF294" s="9" t="inlineStr">
        <is>
          <t>GJ1</t>
        </is>
      </c>
      <c r="AG294" s="9" t="inlineStr">
        <is>
          <t>H</t>
        </is>
      </c>
      <c r="AH294" s="9" t="inlineStr">
        <is>
          <t>GJ1</t>
        </is>
      </c>
      <c r="AI294" s="9" t="inlineStr">
        <is>
          <t>RCBT
CBT1 TRN
GS
GS-C TRN
DIT
DIT TRN</t>
        </is>
      </c>
      <c r="AJ294" s="9" t="inlineStr">
        <is>
          <t>753</t>
        </is>
      </c>
    </row>
    <row r="295">
      <c r="A295" s="1" t="inlineStr">
        <is>
          <t>49375-1</t>
        </is>
      </c>
      <c r="B295" s="1" t="inlineStr">
        <is>
          <t>KAWAI MS</t>
        </is>
      </c>
      <c r="C295" s="1" t="inlineStr"/>
      <c r="D295" s="1" t="inlineStr"/>
      <c r="E295" s="1" t="n"/>
      <c r="F295" s="4" t="inlineStr">
        <is>
          <t>KAWAIMS</t>
        </is>
      </c>
      <c r="G295" s="4" t="inlineStr">
        <is>
          <t>MS</t>
        </is>
      </c>
      <c r="H295" s="4" t="inlineStr">
        <is>
          <t>機種：</t>
        </is>
      </c>
      <c r="I295" s="4" t="inlineStr">
        <is>
          <t>787</t>
        </is>
      </c>
      <c r="J295" s="4" t="inlineStr">
        <is>
          <t>ランク：</t>
        </is>
      </c>
      <c r="K295" s="4" t="inlineStr">
        <is>
          <t>CAP</t>
        </is>
      </c>
      <c r="L295" s="4" t="inlineStr">
        <is>
          <t>期：</t>
        </is>
      </c>
      <c r="M295" s="4" t="inlineStr">
        <is>
          <t>職番：</t>
        </is>
      </c>
      <c r="N295" s="4" t="inlineStr">
        <is>
          <t>00049375</t>
        </is>
      </c>
      <c r="O295" s="4" t="inlineStr">
        <is>
          <t>所属：</t>
        </is>
      </c>
      <c r="P295" s="4" t="inlineStr">
        <is>
          <t>NWZ</t>
        </is>
      </c>
      <c r="Q295" s="4" t="inlineStr">
        <is>
          <t>CAT資：</t>
        </is>
      </c>
      <c r="R295" s="4" t="inlineStr">
        <is>
          <t>CAT3</t>
        </is>
      </c>
      <c r="S295" s="4" t="inlineStr">
        <is>
          <t>T/O：</t>
        </is>
      </c>
      <c r="T295" s="4" t="inlineStr">
        <is>
          <t>3T250826</t>
        </is>
      </c>
      <c r="U295" s="4" t="inlineStr">
        <is>
          <t>L/D：</t>
        </is>
      </c>
      <c r="V295" s="4" t="inlineStr">
        <is>
          <t>3L250826</t>
        </is>
      </c>
      <c r="W295" s="4" t="inlineStr">
        <is>
          <t>PE：</t>
        </is>
      </c>
      <c r="X295" s="5" t="inlineStr">
        <is>
          <t>PE250923</t>
        </is>
      </c>
      <c r="Y295" s="4" t="inlineStr">
        <is>
          <t>誕生月：</t>
        </is>
      </c>
      <c r="Z295" s="4" t="inlineStr">
        <is>
          <t>01</t>
        </is>
      </c>
      <c r="AA295" s="6" t="inlineStr">
        <is>
          <t>電話：</t>
        </is>
      </c>
      <c r="AB295" s="6" t="inlineStr">
        <is>
          <t>03-3755-3411</t>
        </is>
      </c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</row>
    <row r="296">
      <c r="A296" s="1" t="inlineStr">
        <is>
          <t>49375-2</t>
        </is>
      </c>
      <c r="B296" s="1" t="inlineStr">
        <is>
          <t>KAWAI MS</t>
        </is>
      </c>
      <c r="C296" s="1" t="inlineStr"/>
      <c r="D296" s="1" t="inlineStr"/>
      <c r="E296" s="1" t="n"/>
      <c r="F296" s="7" t="inlineStr">
        <is>
          <t>01</t>
        </is>
      </c>
      <c r="G296" s="7" t="inlineStr">
        <is>
          <t>02</t>
        </is>
      </c>
      <c r="H296" s="7" t="inlineStr">
        <is>
          <t>03</t>
        </is>
      </c>
      <c r="I296" s="7" t="inlineStr">
        <is>
          <t>04</t>
        </is>
      </c>
      <c r="J296" s="7" t="inlineStr">
        <is>
          <t>05</t>
        </is>
      </c>
      <c r="K296" s="7" t="inlineStr">
        <is>
          <t>06</t>
        </is>
      </c>
      <c r="L296" s="7" t="inlineStr">
        <is>
          <t>07</t>
        </is>
      </c>
      <c r="M296" s="7" t="inlineStr">
        <is>
          <t>08</t>
        </is>
      </c>
      <c r="N296" s="7" t="inlineStr">
        <is>
          <t>09</t>
        </is>
      </c>
      <c r="O296" s="7" t="inlineStr">
        <is>
          <t>10</t>
        </is>
      </c>
      <c r="P296" s="7" t="inlineStr">
        <is>
          <t>11</t>
        </is>
      </c>
      <c r="Q296" s="7" t="inlineStr">
        <is>
          <t>12</t>
        </is>
      </c>
      <c r="R296" s="7" t="inlineStr">
        <is>
          <t>13</t>
        </is>
      </c>
      <c r="S296" s="7" t="inlineStr">
        <is>
          <t>14</t>
        </is>
      </c>
      <c r="T296" s="7" t="inlineStr">
        <is>
          <t>15</t>
        </is>
      </c>
      <c r="U296" s="7" t="inlineStr">
        <is>
          <t>16</t>
        </is>
      </c>
      <c r="V296" s="7" t="inlineStr">
        <is>
          <t>17</t>
        </is>
      </c>
      <c r="W296" s="7" t="inlineStr">
        <is>
          <t>18</t>
        </is>
      </c>
      <c r="X296" s="7" t="inlineStr">
        <is>
          <t>19</t>
        </is>
      </c>
      <c r="Y296" s="7" t="inlineStr">
        <is>
          <t>20</t>
        </is>
      </c>
      <c r="Z296" s="7" t="inlineStr">
        <is>
          <t>21</t>
        </is>
      </c>
      <c r="AA296" s="7" t="inlineStr">
        <is>
          <t>22</t>
        </is>
      </c>
      <c r="AB296" s="7" t="inlineStr">
        <is>
          <t>23</t>
        </is>
      </c>
      <c r="AC296" s="7" t="inlineStr">
        <is>
          <t>24</t>
        </is>
      </c>
      <c r="AD296" s="7" t="inlineStr">
        <is>
          <t>25</t>
        </is>
      </c>
      <c r="AE296" s="7" t="inlineStr">
        <is>
          <t>26</t>
        </is>
      </c>
      <c r="AF296" s="7" t="inlineStr">
        <is>
          <t>27</t>
        </is>
      </c>
      <c r="AG296" s="7" t="inlineStr">
        <is>
          <t>28</t>
        </is>
      </c>
      <c r="AH296" s="7" t="inlineStr">
        <is>
          <t>29</t>
        </is>
      </c>
      <c r="AI296" s="7" t="inlineStr">
        <is>
          <t>30</t>
        </is>
      </c>
      <c r="AJ296" s="7" t="inlineStr">
        <is>
          <t>31</t>
        </is>
      </c>
    </row>
    <row r="297">
      <c r="A297" s="1" t="inlineStr">
        <is>
          <t>49375-3</t>
        </is>
      </c>
      <c r="B297" s="1" t="inlineStr">
        <is>
          <t>KAWAI MS</t>
        </is>
      </c>
      <c r="C297" s="1" t="inlineStr"/>
      <c r="D297" s="1" t="inlineStr"/>
      <c r="E297" s="1" t="n"/>
      <c r="F297" s="9" t="inlineStr">
        <is>
          <t>MTG1</t>
        </is>
      </c>
      <c r="G297" s="9" t="inlineStr">
        <is>
          <t>H*</t>
        </is>
      </c>
      <c r="H297" s="9" t="inlineStr">
        <is>
          <t>GJ0</t>
        </is>
      </c>
      <c r="I297" s="9" t="inlineStr">
        <is>
          <t>SKM1</t>
        </is>
      </c>
      <c r="J297" s="9" t="inlineStr">
        <is>
          <t>H</t>
        </is>
      </c>
      <c r="K297" s="9" t="inlineStr">
        <is>
          <t>H</t>
        </is>
      </c>
      <c r="L297" s="9" t="inlineStr">
        <is>
          <t>GJ1</t>
        </is>
      </c>
      <c r="M297" s="9" t="inlineStr">
        <is>
          <t>MTG1</t>
        </is>
      </c>
      <c r="N297" s="9" t="inlineStr">
        <is>
          <t>GJ1</t>
        </is>
      </c>
      <c r="O297" s="9" t="inlineStr">
        <is>
          <t>753</t>
        </is>
      </c>
      <c r="P297" s="9" t="inlineStr">
        <is>
          <t>---</t>
        </is>
      </c>
      <c r="Q297" s="9" t="inlineStr">
        <is>
          <t>754</t>
        </is>
      </c>
      <c r="R297" s="9" t="inlineStr">
        <is>
          <t>*H</t>
        </is>
      </c>
      <c r="S297" s="9" t="inlineStr">
        <is>
          <t>*H</t>
        </is>
      </c>
      <c r="T297" s="9" t="inlineStr">
        <is>
          <t>MTG1</t>
        </is>
      </c>
      <c r="U297" s="9" t="inlineStr">
        <is>
          <t>GJ0</t>
        </is>
      </c>
      <c r="V297" s="9" t="inlineStr">
        <is>
          <t>OYZ1</t>
        </is>
      </c>
      <c r="W297" s="9" t="inlineStr">
        <is>
          <t>H/VAC</t>
        </is>
      </c>
      <c r="X297" s="9" t="inlineStr">
        <is>
          <t>H/VAC</t>
        </is>
      </c>
      <c r="Y297" s="9" t="inlineStr">
        <is>
          <t>H/VAC</t>
        </is>
      </c>
      <c r="Z297" s="9" t="inlineStr">
        <is>
          <t>H</t>
        </is>
      </c>
      <c r="AA297" s="9" t="inlineStr">
        <is>
          <t>MTG1</t>
        </is>
      </c>
      <c r="AB297" s="9" t="inlineStr">
        <is>
          <t>GJ1</t>
        </is>
      </c>
      <c r="AC297" s="9" t="inlineStr">
        <is>
          <t>OMZ0</t>
        </is>
      </c>
      <c r="AD297" s="9" t="inlineStr">
        <is>
          <t>HH</t>
        </is>
      </c>
      <c r="AE297" s="9" t="inlineStr">
        <is>
          <t>HH</t>
        </is>
      </c>
      <c r="AF297" s="9" t="inlineStr">
        <is>
          <t>GJ1</t>
        </is>
      </c>
      <c r="AG297" s="9" t="inlineStr">
        <is>
          <t>H</t>
        </is>
      </c>
      <c r="AH297" s="9" t="inlineStr">
        <is>
          <t>MTG1</t>
        </is>
      </c>
      <c r="AI297" s="9" t="inlineStr">
        <is>
          <t>H</t>
        </is>
      </c>
      <c r="AJ297" s="9" t="inlineStr">
        <is>
          <t>MTG1</t>
        </is>
      </c>
    </row>
    <row r="298">
      <c r="A298" s="1" t="inlineStr">
        <is>
          <t>49375-4</t>
        </is>
      </c>
      <c r="B298" s="1" t="inlineStr">
        <is>
          <t>KAWAI MS</t>
        </is>
      </c>
      <c r="C298" s="1" t="inlineStr"/>
      <c r="D298" s="1" t="inlineStr"/>
      <c r="E298" s="1" t="n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>
        <f>HYPERLINK("#Schedule!F81", "北村 YA (37755)")</f>
        <v/>
      </c>
      <c r="P298" s="9" t="inlineStr"/>
      <c r="Q298" s="9">
        <f>HYPERLINK("#Schedule!F81", "北村 YA (37755)")</f>
        <v/>
      </c>
      <c r="R298" s="9" t="inlineStr"/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</row>
    <row r="299">
      <c r="A299" s="1" t="inlineStr">
        <is>
          <t>41266-1</t>
        </is>
      </c>
      <c r="B299" s="1" t="inlineStr">
        <is>
          <t>OZAWA KO</t>
        </is>
      </c>
      <c r="C299" s="1" t="inlineStr"/>
      <c r="D299" s="1" t="inlineStr"/>
      <c r="E299" s="1" t="n">
        <v>20</v>
      </c>
      <c r="F299" s="4" t="inlineStr">
        <is>
          <t>OZAWAKO</t>
        </is>
      </c>
      <c r="G299" s="4" t="inlineStr">
        <is>
          <t>KO</t>
        </is>
      </c>
      <c r="H299" s="4" t="inlineStr">
        <is>
          <t>機種：</t>
        </is>
      </c>
      <c r="I299" s="4" t="inlineStr">
        <is>
          <t>787</t>
        </is>
      </c>
      <c r="J299" s="4" t="inlineStr">
        <is>
          <t>ランク：</t>
        </is>
      </c>
      <c r="K299" s="4" t="inlineStr">
        <is>
          <t>FO</t>
        </is>
      </c>
      <c r="L299" s="4" t="inlineStr">
        <is>
          <t>期：</t>
        </is>
      </c>
      <c r="M299" s="4" t="inlineStr">
        <is>
          <t>020</t>
        </is>
      </c>
      <c r="N299" s="4" t="inlineStr">
        <is>
          <t>職番：</t>
        </is>
      </c>
      <c r="O299" s="4" t="inlineStr">
        <is>
          <t>00041266</t>
        </is>
      </c>
      <c r="P299" s="4" t="inlineStr">
        <is>
          <t>所属：</t>
        </is>
      </c>
      <c r="Q299" s="4" t="inlineStr">
        <is>
          <t>NWZNW</t>
        </is>
      </c>
      <c r="R299" s="4" t="inlineStr">
        <is>
          <t>CAT資：</t>
        </is>
      </c>
      <c r="S299" s="4" t="inlineStr">
        <is>
          <t>CAT3</t>
        </is>
      </c>
      <c r="T299" s="4" t="inlineStr">
        <is>
          <t>T/O：</t>
        </is>
      </c>
      <c r="U299" s="4" t="inlineStr">
        <is>
          <t>3T251007</t>
        </is>
      </c>
      <c r="V299" s="4" t="inlineStr">
        <is>
          <t>L/D：</t>
        </is>
      </c>
      <c r="W299" s="4" t="inlineStr">
        <is>
          <t>3L251007</t>
        </is>
      </c>
      <c r="X299" s="4" t="inlineStr">
        <is>
          <t>PE：</t>
        </is>
      </c>
      <c r="Y299" s="5" t="inlineStr">
        <is>
          <t>PE250805</t>
        </is>
      </c>
      <c r="Z299" s="4" t="inlineStr">
        <is>
          <t>誕生月：</t>
        </is>
      </c>
      <c r="AA299" s="4" t="inlineStr">
        <is>
          <t>12</t>
        </is>
      </c>
      <c r="AB299" s="6" t="inlineStr">
        <is>
          <t>電話：</t>
        </is>
      </c>
      <c r="AC299" s="6" t="inlineStr">
        <is>
          <t>04-7187-2487</t>
        </is>
      </c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</row>
    <row r="300">
      <c r="A300" s="1" t="inlineStr">
        <is>
          <t>41266-2</t>
        </is>
      </c>
      <c r="B300" s="1" t="inlineStr">
        <is>
          <t>OZAWA KO</t>
        </is>
      </c>
      <c r="C300" s="1" t="inlineStr"/>
      <c r="D300" s="1" t="inlineStr"/>
      <c r="E300" s="1" t="n">
        <v>20</v>
      </c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8" t="inlineStr">
        <is>
          <t>04</t>
        </is>
      </c>
      <c r="J300" s="7" t="inlineStr">
        <is>
          <t>05</t>
        </is>
      </c>
      <c r="K300" s="8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14" t="inlineStr">
        <is>
          <t>10</t>
        </is>
      </c>
      <c r="P300" s="7" t="inlineStr">
        <is>
          <t>11</t>
        </is>
      </c>
      <c r="Q300" s="7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8" t="inlineStr">
        <is>
          <t>15</t>
        </is>
      </c>
      <c r="U300" s="8" t="inlineStr">
        <is>
          <t>16</t>
        </is>
      </c>
      <c r="V300" s="7" t="inlineStr">
        <is>
          <t>17</t>
        </is>
      </c>
      <c r="W300" s="8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8" t="inlineStr">
        <is>
          <t>22</t>
        </is>
      </c>
      <c r="AB300" s="7" t="inlineStr">
        <is>
          <t>23</t>
        </is>
      </c>
      <c r="AC300" s="8" t="inlineStr">
        <is>
          <t>24</t>
        </is>
      </c>
      <c r="AD300" s="8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41266-3</t>
        </is>
      </c>
      <c r="B301" s="1" t="inlineStr">
        <is>
          <t>OZAWA KO</t>
        </is>
      </c>
      <c r="C301" s="1" t="inlineStr"/>
      <c r="D301" s="1" t="inlineStr"/>
      <c r="E301" s="1" t="n">
        <v>20</v>
      </c>
      <c r="F301" s="9" t="inlineStr">
        <is>
          <t>H</t>
        </is>
      </c>
      <c r="G301" s="9" t="inlineStr">
        <is>
          <t>H</t>
        </is>
      </c>
      <c r="H301" s="9" t="inlineStr">
        <is>
          <t>RF</t>
        </is>
      </c>
      <c r="I301" s="9" t="inlineStr">
        <is>
          <t>759
RMD TRN</t>
        </is>
      </c>
      <c r="J301" s="9" t="inlineStr">
        <is>
          <t>---</t>
        </is>
      </c>
      <c r="K301" s="9" t="inlineStr">
        <is>
          <t>70
RMD TRN</t>
        </is>
      </c>
      <c r="L301" s="9" t="inlineStr">
        <is>
          <t>H</t>
        </is>
      </c>
      <c r="M301" s="9" t="inlineStr">
        <is>
          <t>101
106</t>
        </is>
      </c>
      <c r="N301" s="9" t="inlineStr">
        <is>
          <t>HH</t>
        </is>
      </c>
      <c r="O301" s="9" t="inlineStr">
        <is>
          <t>PH3
TRN
#1
21:00-23:00</t>
        </is>
      </c>
      <c r="P301" s="9" t="inlineStr">
        <is>
          <t>VAC</t>
        </is>
      </c>
      <c r="Q301" s="9" t="inlineStr">
        <is>
          <t>VAC</t>
        </is>
      </c>
      <c r="R301" s="9" t="inlineStr">
        <is>
          <t>H/VAC</t>
        </is>
      </c>
      <c r="S301" s="9" t="inlineStr">
        <is>
          <t>81
82</t>
        </is>
      </c>
      <c r="T301" s="9" t="inlineStr">
        <is>
          <t>25
RMD TRN</t>
        </is>
      </c>
      <c r="U301" s="9" t="inlineStr">
        <is>
          <t>20
RMD TRN</t>
        </is>
      </c>
      <c r="V301" s="9" t="inlineStr">
        <is>
          <t>H</t>
        </is>
      </c>
      <c r="W301" s="9" t="inlineStr">
        <is>
          <t>99
RMD TRN</t>
        </is>
      </c>
      <c r="X301" s="9" t="inlineStr">
        <is>
          <t>96
RMD TRN</t>
        </is>
      </c>
      <c r="Y301" s="9" t="inlineStr">
        <is>
          <t>H</t>
        </is>
      </c>
      <c r="Z301" s="9" t="inlineStr">
        <is>
          <t>H</t>
        </is>
      </c>
      <c r="AA301" s="9" t="inlineStr">
        <is>
          <t>91
RMD TRN
92
RMD TRN</t>
        </is>
      </c>
      <c r="AB301" s="9" t="inlineStr">
        <is>
          <t>H/VAC</t>
        </is>
      </c>
      <c r="AC301" s="9" t="inlineStr">
        <is>
          <t>119
RMD TRN
124
RMD TRN
139
RMD TRN</t>
        </is>
      </c>
      <c r="AD301" s="9" t="inlineStr">
        <is>
          <t>116
RMD TRN
125
RMD TRN
128
RMD TRN</t>
        </is>
      </c>
      <c r="AE301" s="9" t="inlineStr">
        <is>
          <t>R</t>
        </is>
      </c>
      <c r="AF301" s="9" t="inlineStr">
        <is>
          <t>3087DH</t>
        </is>
      </c>
      <c r="AG301" s="9" t="inlineStr">
        <is>
          <t>794</t>
        </is>
      </c>
      <c r="AH301" s="9" t="inlineStr">
        <is>
          <t>---</t>
        </is>
      </c>
      <c r="AI301" s="9" t="inlineStr">
        <is>
          <t>8785</t>
        </is>
      </c>
      <c r="AJ301" s="9" t="inlineStr">
        <is>
          <t>*H</t>
        </is>
      </c>
    </row>
    <row r="302">
      <c r="A302" s="1" t="inlineStr">
        <is>
          <t>41266-4</t>
        </is>
      </c>
      <c r="B302" s="1" t="inlineStr">
        <is>
          <t>OZAWA KO</t>
        </is>
      </c>
      <c r="C302" s="1" t="inlineStr"/>
      <c r="D302" s="1" t="inlineStr"/>
      <c r="E302" s="1" t="n"/>
      <c r="F302" s="9" t="inlineStr"/>
      <c r="G302" s="9" t="inlineStr"/>
      <c r="H302" s="9" t="inlineStr"/>
      <c r="I302" s="9">
        <f>HYPERLINK("#Schedule!F208", "本田 SH (40789)")</f>
        <v/>
      </c>
      <c r="J302" s="9" t="inlineStr"/>
      <c r="K302" s="9">
        <f>HYPERLINK("#Schedule!F208", "本田 SH (40789)")</f>
        <v/>
      </c>
      <c r="L302" s="9" t="inlineStr"/>
      <c r="M302" s="9" t="inlineStr"/>
      <c r="N302" s="9" t="inlineStr"/>
      <c r="O302" s="9">
        <f>HYPERLINK("#Schedule!F226", "I横井 TO (49181)")</f>
        <v/>
      </c>
      <c r="P302" s="9" t="inlineStr"/>
      <c r="Q302" s="9" t="inlineStr"/>
      <c r="R302" s="9" t="inlineStr"/>
      <c r="S302" s="9">
        <f>HYPERLINK("#Schedule!F53", "新野 TO (41373)")</f>
        <v/>
      </c>
      <c r="T302" s="9">
        <f>HYPERLINK("#Schedule!F275", "MATSUNOSH (38570)")</f>
        <v/>
      </c>
      <c r="U302" s="9">
        <f>HYPERLINK("#Schedule!F275", "MATSUNOSH (38570)")</f>
        <v/>
      </c>
      <c r="V302" s="9" t="inlineStr"/>
      <c r="W302" s="9">
        <f>HYPERLINK("#Schedule!F143", "山本 ST (37736)")</f>
        <v/>
      </c>
      <c r="X302" s="9">
        <f>HYPERLINK("#Schedule!F143", "山本 ST (37736)")</f>
        <v/>
      </c>
      <c r="Y302" s="9" t="inlineStr"/>
      <c r="Z302" s="9" t="inlineStr"/>
      <c r="AA302" s="9">
        <f>HYPERLINK("#Schedule!F160", "岡本 KA (41662)")</f>
        <v/>
      </c>
      <c r="AB302" s="9" t="inlineStr"/>
      <c r="AC302" s="9">
        <f>HYPERLINK("#Schedule!F86", "金澤 RY (38560)")</f>
        <v/>
      </c>
      <c r="AD302" s="9">
        <f>HYPERLINK("#Schedule!F86", "金澤 RY (38560)")</f>
        <v/>
      </c>
      <c r="AE302" s="9" t="inlineStr"/>
      <c r="AF302" s="9" t="inlineStr"/>
      <c r="AG302" s="9" t="inlineStr"/>
      <c r="AH302" s="9" t="inlineStr"/>
      <c r="AI302" s="9" t="inlineStr"/>
      <c r="AJ302" s="9" t="inlineStr"/>
    </row>
    <row r="303">
      <c r="A303" s="1" t="inlineStr">
        <is>
          <t>41266-5</t>
        </is>
      </c>
      <c r="B303" s="1" t="inlineStr">
        <is>
          <t>OZAWA KO</t>
        </is>
      </c>
      <c r="C303" s="1" t="inlineStr"/>
      <c r="D303" s="1" t="inlineStr"/>
      <c r="E303" s="1" t="n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9" t="inlineStr"/>
      <c r="S303" s="9">
        <f>HYPERLINK("#Schedule!F374", "NAKAITO (53882)")</f>
        <v/>
      </c>
      <c r="T303" s="9" t="inlineStr"/>
      <c r="U303" s="9" t="inlineStr"/>
      <c r="V303" s="9" t="inlineStr"/>
      <c r="W303" s="9" t="inlineStr"/>
      <c r="X303" s="9" t="inlineStr"/>
      <c r="Y303" s="9" t="inlineStr"/>
      <c r="Z303" s="9" t="inlineStr"/>
      <c r="AA303" s="9" t="inlineStr"/>
      <c r="AB303" s="9" t="inlineStr"/>
      <c r="AC303" s="9" t="inlineStr"/>
      <c r="AD303" s="9" t="inlineStr"/>
      <c r="AE303" s="9" t="inlineStr"/>
      <c r="AF303" s="9" t="inlineStr"/>
      <c r="AG303" s="9" t="inlineStr"/>
      <c r="AH303" s="9" t="inlineStr"/>
      <c r="AI303" s="9" t="inlineStr"/>
      <c r="AJ303" s="9" t="inlineStr"/>
    </row>
    <row r="304">
      <c r="A304" s="1" t="inlineStr">
        <is>
          <t>53829-1</t>
        </is>
      </c>
      <c r="B304" s="1" t="inlineStr">
        <is>
          <t>TAKAGI HI</t>
        </is>
      </c>
      <c r="C304" s="1" t="inlineStr"/>
      <c r="D304" s="1" t="inlineStr"/>
      <c r="E304" s="1" t="n">
        <v>209</v>
      </c>
      <c r="F304" s="4" t="inlineStr">
        <is>
          <t>TAKAGIHI</t>
        </is>
      </c>
      <c r="G304" s="4" t="inlineStr">
        <is>
          <t>HI</t>
        </is>
      </c>
      <c r="H304" s="4" t="inlineStr">
        <is>
          <t>機種：</t>
        </is>
      </c>
      <c r="I304" s="4" t="inlineStr">
        <is>
          <t>787</t>
        </is>
      </c>
      <c r="J304" s="4" t="inlineStr">
        <is>
          <t>ランク：</t>
        </is>
      </c>
      <c r="K304" s="4" t="inlineStr">
        <is>
          <t>FO</t>
        </is>
      </c>
      <c r="L304" s="4" t="inlineStr">
        <is>
          <t>期：</t>
        </is>
      </c>
      <c r="M304" s="4" t="inlineStr">
        <is>
          <t>209</t>
        </is>
      </c>
      <c r="N304" s="4" t="inlineStr">
        <is>
          <t>職番：</t>
        </is>
      </c>
      <c r="O304" s="4" t="inlineStr">
        <is>
          <t>00053829</t>
        </is>
      </c>
      <c r="P304" s="4" t="inlineStr">
        <is>
          <t>所属：</t>
        </is>
      </c>
      <c r="Q304" s="4" t="inlineStr">
        <is>
          <t>NWZNW</t>
        </is>
      </c>
      <c r="R304" s="4" t="inlineStr">
        <is>
          <t>CAT資：</t>
        </is>
      </c>
      <c r="S304" s="4" t="inlineStr">
        <is>
          <t>CAT3</t>
        </is>
      </c>
      <c r="T304" s="4" t="inlineStr">
        <is>
          <t>T/O：</t>
        </is>
      </c>
      <c r="U304" s="4" t="inlineStr">
        <is>
          <t>3T251008</t>
        </is>
      </c>
      <c r="V304" s="4" t="inlineStr">
        <is>
          <t>L/D：</t>
        </is>
      </c>
      <c r="W304" s="4" t="inlineStr">
        <is>
          <t>3L251008</t>
        </is>
      </c>
      <c r="X304" s="4" t="inlineStr">
        <is>
          <t>PE：</t>
        </is>
      </c>
      <c r="Y304" s="5" t="inlineStr">
        <is>
          <t>PE260520</t>
        </is>
      </c>
      <c r="Z304" s="4" t="inlineStr">
        <is>
          <t>誕生月：</t>
        </is>
      </c>
      <c r="AA304" s="4" t="inlineStr">
        <is>
          <t>03</t>
        </is>
      </c>
      <c r="AB304" s="6" t="inlineStr">
        <is>
          <t>電話：</t>
        </is>
      </c>
      <c r="AC304" s="6" t="inlineStr">
        <is>
          <t>090-7918-1581</t>
        </is>
      </c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1" t="inlineStr">
        <is>
          <t>53829-2</t>
        </is>
      </c>
      <c r="B305" s="1" t="inlineStr">
        <is>
          <t>TAKAGI HI</t>
        </is>
      </c>
      <c r="C305" s="1" t="inlineStr"/>
      <c r="D305" s="1" t="inlineStr"/>
      <c r="E305" s="1" t="n">
        <v>209</v>
      </c>
      <c r="F305" s="7" t="inlineStr">
        <is>
          <t>01</t>
        </is>
      </c>
      <c r="G305" s="7" t="inlineStr">
        <is>
          <t>02</t>
        </is>
      </c>
      <c r="H305" s="8" t="inlineStr">
        <is>
          <t>03</t>
        </is>
      </c>
      <c r="I305" s="7" t="inlineStr">
        <is>
          <t>04</t>
        </is>
      </c>
      <c r="J305" s="7" t="inlineStr">
        <is>
          <t>05</t>
        </is>
      </c>
      <c r="K305" s="7" t="inlineStr">
        <is>
          <t>06</t>
        </is>
      </c>
      <c r="L305" s="7" t="inlineStr">
        <is>
          <t>07</t>
        </is>
      </c>
      <c r="M305" s="7" t="inlineStr">
        <is>
          <t>08</t>
        </is>
      </c>
      <c r="N305" s="13" t="inlineStr">
        <is>
          <t>09</t>
        </is>
      </c>
      <c r="O305" s="7" t="inlineStr">
        <is>
          <t>10</t>
        </is>
      </c>
      <c r="P305" s="8" t="inlineStr">
        <is>
          <t>11</t>
        </is>
      </c>
      <c r="Q305" s="7" t="inlineStr">
        <is>
          <t>12</t>
        </is>
      </c>
      <c r="R305" s="8" t="inlineStr">
        <is>
          <t>13</t>
        </is>
      </c>
      <c r="S305" s="7" t="inlineStr">
        <is>
          <t>14</t>
        </is>
      </c>
      <c r="T305" s="7" t="inlineStr">
        <is>
          <t>15</t>
        </is>
      </c>
      <c r="U305" s="8" t="inlineStr">
        <is>
          <t>16</t>
        </is>
      </c>
      <c r="V305" s="8" t="inlineStr">
        <is>
          <t>17</t>
        </is>
      </c>
      <c r="W305" s="7" t="inlineStr">
        <is>
          <t>18</t>
        </is>
      </c>
      <c r="X305" s="7" t="inlineStr">
        <is>
          <t>19</t>
        </is>
      </c>
      <c r="Y305" s="7" t="inlineStr">
        <is>
          <t>20</t>
        </is>
      </c>
      <c r="Z305" s="8" t="inlineStr">
        <is>
          <t>21</t>
        </is>
      </c>
      <c r="AA305" s="8" t="inlineStr">
        <is>
          <t>22</t>
        </is>
      </c>
      <c r="AB305" s="7" t="inlineStr">
        <is>
          <t>23</t>
        </is>
      </c>
      <c r="AC305" s="7" t="inlineStr">
        <is>
          <t>24</t>
        </is>
      </c>
      <c r="AD305" s="7" t="inlineStr">
        <is>
          <t>25</t>
        </is>
      </c>
      <c r="AE305" s="7" t="inlineStr">
        <is>
          <t>26</t>
        </is>
      </c>
      <c r="AF305" s="7" t="inlineStr">
        <is>
          <t>27</t>
        </is>
      </c>
      <c r="AG305" s="7" t="inlineStr">
        <is>
          <t>28</t>
        </is>
      </c>
      <c r="AH305" s="7" t="inlineStr">
        <is>
          <t>29</t>
        </is>
      </c>
      <c r="AI305" s="7" t="inlineStr">
        <is>
          <t>30</t>
        </is>
      </c>
      <c r="AJ305" s="7" t="inlineStr">
        <is>
          <t>31</t>
        </is>
      </c>
    </row>
    <row r="306">
      <c r="A306" s="1" t="inlineStr">
        <is>
          <t>53829-3</t>
        </is>
      </c>
      <c r="B306" s="1" t="inlineStr">
        <is>
          <t>TAKAGI HI</t>
        </is>
      </c>
      <c r="C306" s="1" t="inlineStr"/>
      <c r="D306" s="1" t="inlineStr"/>
      <c r="E306" s="1" t="n">
        <v>209</v>
      </c>
      <c r="F306" s="9" t="inlineStr">
        <is>
          <t>H</t>
        </is>
      </c>
      <c r="G306" s="9" t="inlineStr">
        <is>
          <t>HH</t>
        </is>
      </c>
      <c r="H306" s="9" t="inlineStr">
        <is>
          <t>81
CMD TRN
82
CMD TRN</t>
        </is>
      </c>
      <c r="I306" s="9" t="inlineStr">
        <is>
          <t>SX</t>
        </is>
      </c>
      <c r="J306" s="9" t="inlineStr">
        <is>
          <t>809</t>
        </is>
      </c>
      <c r="K306" s="9" t="inlineStr">
        <is>
          <t>802</t>
        </is>
      </c>
      <c r="L306" s="9" t="inlineStr">
        <is>
          <t>RF</t>
        </is>
      </c>
      <c r="M306" s="9" t="inlineStr">
        <is>
          <t>H</t>
        </is>
      </c>
      <c r="N306" s="9" t="inlineStr">
        <is>
          <t>EDU
PH TRN
GMT0</t>
        </is>
      </c>
      <c r="O306" s="9" t="inlineStr">
        <is>
          <t>H/VAC</t>
        </is>
      </c>
      <c r="P306" s="9" t="inlineStr">
        <is>
          <t>725
CMD TRN</t>
        </is>
      </c>
      <c r="Q306" s="9" t="inlineStr">
        <is>
          <t>---</t>
        </is>
      </c>
      <c r="R306" s="9" t="inlineStr">
        <is>
          <t>726
CMD TRN</t>
        </is>
      </c>
      <c r="S306" s="9" t="inlineStr">
        <is>
          <t>H</t>
        </is>
      </c>
      <c r="T306" s="9" t="inlineStr">
        <is>
          <t>HH</t>
        </is>
      </c>
      <c r="U306" s="9" t="inlineStr">
        <is>
          <t>305
CMD TRN
308
CMD TRN
515
CMD TRN</t>
        </is>
      </c>
      <c r="V306" s="9" t="inlineStr">
        <is>
          <t>514
CMD TRN
329
CMD TRN
332
CMD TRN</t>
        </is>
      </c>
      <c r="W306" s="9" t="inlineStr">
        <is>
          <t>BLK</t>
        </is>
      </c>
      <c r="X306" s="9" t="inlineStr">
        <is>
          <t>H</t>
        </is>
      </c>
      <c r="Y306" s="9" t="inlineStr">
        <is>
          <t>MIDNIT</t>
        </is>
      </c>
      <c r="Z306" s="9" t="inlineStr">
        <is>
          <t>79
CMD TRN</t>
        </is>
      </c>
      <c r="AA306" s="9" t="inlineStr">
        <is>
          <t>750
CMD TRN</t>
        </is>
      </c>
      <c r="AB306" s="9" t="inlineStr">
        <is>
          <t>H/VAC</t>
        </is>
      </c>
      <c r="AC306" s="9" t="inlineStr">
        <is>
          <t>62</t>
        </is>
      </c>
      <c r="AD306" s="9" t="inlineStr">
        <is>
          <t>---</t>
        </is>
      </c>
      <c r="AE306" s="9" t="inlineStr">
        <is>
          <t>---</t>
        </is>
      </c>
      <c r="AF306" s="9" t="inlineStr">
        <is>
          <t>61</t>
        </is>
      </c>
      <c r="AG306" s="9" t="inlineStr">
        <is>
          <t>H</t>
        </is>
      </c>
      <c r="AH306" s="9" t="inlineStr">
        <is>
          <t>H</t>
        </is>
      </c>
      <c r="AI306" s="9" t="inlineStr">
        <is>
          <t>H</t>
        </is>
      </c>
      <c r="AJ306" s="9" t="inlineStr">
        <is>
          <t>CMD
TRN</t>
        </is>
      </c>
    </row>
    <row r="307">
      <c r="A307" s="1" t="inlineStr">
        <is>
          <t>53829-4</t>
        </is>
      </c>
      <c r="B307" s="1" t="inlineStr">
        <is>
          <t>TAKAGI HI</t>
        </is>
      </c>
      <c r="C307" s="1" t="inlineStr"/>
      <c r="D307" s="1" t="inlineStr"/>
      <c r="E307" s="1" t="n"/>
      <c r="F307" s="9" t="inlineStr"/>
      <c r="G307" s="9" t="inlineStr"/>
      <c r="H307" s="9">
        <f>HYPERLINK("#Schedule!F248", "齊藤 SN (38561)")</f>
        <v/>
      </c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9">
        <f>HYPERLINK("#Schedule!F234", "富川 MA (67428)")</f>
        <v/>
      </c>
      <c r="Q307" s="9" t="inlineStr"/>
      <c r="R307" s="9">
        <f>HYPERLINK("#Schedule!F234", "富川 MA (67428)")</f>
        <v/>
      </c>
      <c r="S307" s="9" t="inlineStr"/>
      <c r="T307" s="9" t="inlineStr"/>
      <c r="U307" s="9">
        <f>HYPERLINK("#Schedule!F252", "外山 TE (40785)")</f>
        <v/>
      </c>
      <c r="V307" s="9">
        <f>HYPERLINK("#Schedule!F252", "外山 TE (40785)")</f>
        <v/>
      </c>
      <c r="W307" s="9" t="inlineStr"/>
      <c r="X307" s="9" t="inlineStr"/>
      <c r="Y307" s="9" t="inlineStr"/>
      <c r="Z307" s="9">
        <f>HYPERLINK("#Schedule!F49", "織田  (39358)")</f>
        <v/>
      </c>
      <c r="AA307" s="9">
        <f>HYPERLINK("#Schedule!F49", "織田  (39358)")</f>
        <v/>
      </c>
      <c r="AB307" s="9" t="inlineStr"/>
      <c r="AC307" s="9" t="inlineStr"/>
      <c r="AD307" s="9" t="inlineStr"/>
      <c r="AE307" s="9" t="inlineStr"/>
      <c r="AF307" s="9" t="inlineStr"/>
      <c r="AG307" s="9" t="inlineStr"/>
      <c r="AH307" s="9" t="inlineStr"/>
      <c r="AI307" s="9" t="inlineStr"/>
      <c r="AJ307" s="9" t="inlineStr"/>
    </row>
    <row r="308">
      <c r="A308" s="1" t="inlineStr">
        <is>
          <t>45615-1</t>
        </is>
      </c>
      <c r="B308" s="1" t="inlineStr">
        <is>
          <t>WATANABE SH</t>
        </is>
      </c>
      <c r="C308" s="1" t="inlineStr"/>
      <c r="D308" s="1" t="inlineStr"/>
      <c r="E308" s="1" t="n">
        <v>175</v>
      </c>
      <c r="F308" s="4" t="inlineStr">
        <is>
          <t>WATANABESH</t>
        </is>
      </c>
      <c r="G308" s="4" t="inlineStr">
        <is>
          <t>SH</t>
        </is>
      </c>
      <c r="H308" s="4" t="inlineStr">
        <is>
          <t>機種：</t>
        </is>
      </c>
      <c r="I308" s="4" t="inlineStr">
        <is>
          <t>787</t>
        </is>
      </c>
      <c r="J308" s="4" t="inlineStr">
        <is>
          <t>ランク：</t>
        </is>
      </c>
      <c r="K308" s="4" t="inlineStr">
        <is>
          <t>FO</t>
        </is>
      </c>
      <c r="L308" s="4" t="inlineStr">
        <is>
          <t>期：</t>
        </is>
      </c>
      <c r="M308" s="4" t="inlineStr">
        <is>
          <t>175</t>
        </is>
      </c>
      <c r="N308" s="4" t="inlineStr">
        <is>
          <t>職番：</t>
        </is>
      </c>
      <c r="O308" s="4" t="inlineStr">
        <is>
          <t>00045615</t>
        </is>
      </c>
      <c r="P308" s="4" t="inlineStr">
        <is>
          <t>所属：</t>
        </is>
      </c>
      <c r="Q308" s="4" t="inlineStr">
        <is>
          <t>NWZNW</t>
        </is>
      </c>
      <c r="R308" s="4" t="inlineStr">
        <is>
          <t>CAT資：</t>
        </is>
      </c>
      <c r="S308" s="4" t="inlineStr">
        <is>
          <t>T/O：</t>
        </is>
      </c>
      <c r="T308" s="4" t="inlineStr">
        <is>
          <t>L/D：</t>
        </is>
      </c>
      <c r="U308" s="4" t="inlineStr">
        <is>
          <t>PE：</t>
        </is>
      </c>
      <c r="V308" s="4" t="inlineStr">
        <is>
          <t>誕生月：</t>
        </is>
      </c>
      <c r="W308" s="4" t="inlineStr">
        <is>
          <t>04</t>
        </is>
      </c>
      <c r="X308" s="6" t="inlineStr">
        <is>
          <t>電話：</t>
        </is>
      </c>
      <c r="Y308" s="6" t="inlineStr">
        <is>
          <t>090-4584-4988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1" t="inlineStr">
        <is>
          <t>45615-2</t>
        </is>
      </c>
      <c r="B309" s="1" t="inlineStr">
        <is>
          <t>WATANABE SH</t>
        </is>
      </c>
      <c r="C309" s="1" t="inlineStr"/>
      <c r="D309" s="1" t="inlineStr"/>
      <c r="E309" s="1" t="n">
        <v>175</v>
      </c>
      <c r="F309" s="7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7" t="inlineStr">
        <is>
          <t>19</t>
        </is>
      </c>
      <c r="Y309" s="7" t="inlineStr">
        <is>
          <t>20</t>
        </is>
      </c>
      <c r="Z309" s="7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7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7" t="inlineStr">
        <is>
          <t>27</t>
        </is>
      </c>
      <c r="AG309" s="7" t="inlineStr">
        <is>
          <t>28</t>
        </is>
      </c>
      <c r="AH309" s="7" t="inlineStr">
        <is>
          <t>29</t>
        </is>
      </c>
      <c r="AI309" s="7" t="inlineStr">
        <is>
          <t>30</t>
        </is>
      </c>
      <c r="AJ309" s="7" t="inlineStr">
        <is>
          <t>31</t>
        </is>
      </c>
    </row>
    <row r="310">
      <c r="A310" s="1" t="inlineStr">
        <is>
          <t>45615-3</t>
        </is>
      </c>
      <c r="B310" s="1" t="inlineStr">
        <is>
          <t>WATANABE SH</t>
        </is>
      </c>
      <c r="C310" s="1" t="inlineStr"/>
      <c r="D310" s="1" t="inlineStr"/>
      <c r="E310" s="1" t="n">
        <v>175</v>
      </c>
      <c r="F310" s="9" t="inlineStr">
        <is>
          <t>***</t>
        </is>
      </c>
      <c r="G310" s="9" t="inlineStr">
        <is>
          <t>***</t>
        </is>
      </c>
      <c r="H310" s="9" t="inlineStr">
        <is>
          <t>***</t>
        </is>
      </c>
      <c r="I310" s="9" t="inlineStr">
        <is>
          <t>***</t>
        </is>
      </c>
      <c r="J310" s="9" t="inlineStr">
        <is>
          <t>***</t>
        </is>
      </c>
      <c r="K310" s="9" t="inlineStr">
        <is>
          <t>***</t>
        </is>
      </c>
      <c r="L310" s="9" t="inlineStr">
        <is>
          <t>***</t>
        </is>
      </c>
      <c r="M310" s="9" t="inlineStr">
        <is>
          <t>***</t>
        </is>
      </c>
      <c r="N310" s="9" t="inlineStr">
        <is>
          <t>***</t>
        </is>
      </c>
      <c r="O310" s="9" t="inlineStr">
        <is>
          <t>***</t>
        </is>
      </c>
      <c r="P310" s="9" t="inlineStr">
        <is>
          <t>***</t>
        </is>
      </c>
      <c r="Q310" s="9" t="inlineStr">
        <is>
          <t>***</t>
        </is>
      </c>
      <c r="R310" s="9" t="inlineStr">
        <is>
          <t>***</t>
        </is>
      </c>
      <c r="S310" s="9" t="inlineStr">
        <is>
          <t>***</t>
        </is>
      </c>
      <c r="T310" s="9" t="inlineStr">
        <is>
          <t>***</t>
        </is>
      </c>
      <c r="U310" s="9" t="inlineStr">
        <is>
          <t>***</t>
        </is>
      </c>
      <c r="V310" s="9" t="inlineStr">
        <is>
          <t>***</t>
        </is>
      </c>
      <c r="W310" s="9" t="inlineStr">
        <is>
          <t>***</t>
        </is>
      </c>
      <c r="X310" s="9" t="inlineStr">
        <is>
          <t>***</t>
        </is>
      </c>
      <c r="Y310" s="9" t="inlineStr">
        <is>
          <t>***</t>
        </is>
      </c>
      <c r="Z310" s="9" t="inlineStr">
        <is>
          <t>***</t>
        </is>
      </c>
      <c r="AA310" s="9" t="inlineStr">
        <is>
          <t>***</t>
        </is>
      </c>
      <c r="AB310" s="9" t="inlineStr">
        <is>
          <t>***</t>
        </is>
      </c>
      <c r="AC310" s="9" t="inlineStr">
        <is>
          <t>***</t>
        </is>
      </c>
      <c r="AD310" s="9" t="inlineStr">
        <is>
          <t>***</t>
        </is>
      </c>
      <c r="AE310" s="9" t="inlineStr">
        <is>
          <t>***</t>
        </is>
      </c>
      <c r="AF310" s="9" t="inlineStr">
        <is>
          <t>***</t>
        </is>
      </c>
      <c r="AG310" s="9" t="inlineStr">
        <is>
          <t>***</t>
        </is>
      </c>
      <c r="AH310" s="9" t="inlineStr">
        <is>
          <t>***</t>
        </is>
      </c>
      <c r="AI310" s="9" t="inlineStr">
        <is>
          <t>***</t>
        </is>
      </c>
      <c r="AJ310" s="9" t="inlineStr">
        <is>
          <t>***</t>
        </is>
      </c>
    </row>
    <row r="311">
      <c r="A311" s="1" t="inlineStr">
        <is>
          <t>51867-1</t>
        </is>
      </c>
      <c r="B311" s="1" t="inlineStr">
        <is>
          <t>KANEHARA MO</t>
        </is>
      </c>
      <c r="C311" s="1" t="inlineStr"/>
      <c r="D311" s="1" t="inlineStr"/>
      <c r="E311" s="1" t="n">
        <v>219</v>
      </c>
      <c r="F311" s="4" t="inlineStr">
        <is>
          <t>KANEHARAMO</t>
        </is>
      </c>
      <c r="G311" s="4" t="inlineStr">
        <is>
          <t>MO</t>
        </is>
      </c>
      <c r="H311" s="4" t="inlineStr">
        <is>
          <t>機種：</t>
        </is>
      </c>
      <c r="I311" s="4" t="inlineStr">
        <is>
          <t>787</t>
        </is>
      </c>
      <c r="J311" s="4" t="inlineStr">
        <is>
          <t>ランク：</t>
        </is>
      </c>
      <c r="K311" s="4" t="inlineStr">
        <is>
          <t>FO</t>
        </is>
      </c>
      <c r="L311" s="4" t="inlineStr">
        <is>
          <t>期：</t>
        </is>
      </c>
      <c r="M311" s="4" t="inlineStr">
        <is>
          <t>219</t>
        </is>
      </c>
      <c r="N311" s="4" t="inlineStr">
        <is>
          <t>職番：</t>
        </is>
      </c>
      <c r="O311" s="4" t="inlineStr">
        <is>
          <t>00051867</t>
        </is>
      </c>
      <c r="P311" s="4" t="inlineStr">
        <is>
          <t>所属：</t>
        </is>
      </c>
      <c r="Q311" s="4" t="inlineStr">
        <is>
          <t>NWZNW</t>
        </is>
      </c>
      <c r="R311" s="4" t="inlineStr">
        <is>
          <t>CAT資：</t>
        </is>
      </c>
      <c r="S311" s="4" t="inlineStr">
        <is>
          <t>CAT3</t>
        </is>
      </c>
      <c r="T311" s="4" t="inlineStr">
        <is>
          <t>T/O：</t>
        </is>
      </c>
      <c r="U311" s="4" t="inlineStr">
        <is>
          <t>3T251009</t>
        </is>
      </c>
      <c r="V311" s="4" t="inlineStr">
        <is>
          <t>L/D：</t>
        </is>
      </c>
      <c r="W311" s="4" t="inlineStr">
        <is>
          <t>3L251009</t>
        </is>
      </c>
      <c r="X311" s="4" t="inlineStr">
        <is>
          <t>PE：</t>
        </is>
      </c>
      <c r="Y311" s="5" t="inlineStr">
        <is>
          <t>PE251030</t>
        </is>
      </c>
      <c r="Z311" s="4" t="inlineStr">
        <is>
          <t>誕生月：</t>
        </is>
      </c>
      <c r="AA311" s="4" t="inlineStr">
        <is>
          <t>10</t>
        </is>
      </c>
      <c r="AB311" s="6" t="inlineStr">
        <is>
          <t>電話：</t>
        </is>
      </c>
      <c r="AC311" s="6" t="inlineStr">
        <is>
          <t>090-2565-3638</t>
        </is>
      </c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1" t="inlineStr">
        <is>
          <t>51867-2</t>
        </is>
      </c>
      <c r="B312" s="1" t="inlineStr">
        <is>
          <t>KANEHARA MO</t>
        </is>
      </c>
      <c r="C312" s="1" t="inlineStr"/>
      <c r="D312" s="1" t="inlineStr"/>
      <c r="E312" s="1" t="n">
        <v>219</v>
      </c>
      <c r="F312" s="7" t="inlineStr">
        <is>
          <t>01</t>
        </is>
      </c>
      <c r="G312" s="13" t="inlineStr">
        <is>
          <t>02</t>
        </is>
      </c>
      <c r="H312" s="8" t="inlineStr">
        <is>
          <t>03</t>
        </is>
      </c>
      <c r="I312" s="8" t="inlineStr">
        <is>
          <t>04</t>
        </is>
      </c>
      <c r="J312" s="7" t="inlineStr">
        <is>
          <t>05</t>
        </is>
      </c>
      <c r="K312" s="8" t="inlineStr">
        <is>
          <t>06</t>
        </is>
      </c>
      <c r="L312" s="8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8" t="inlineStr">
        <is>
          <t>12</t>
        </is>
      </c>
      <c r="R312" s="8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7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7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14" t="inlineStr">
        <is>
          <t>25</t>
        </is>
      </c>
      <c r="AE312" s="14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12" t="inlineStr">
        <is>
          <t>29</t>
        </is>
      </c>
      <c r="AI312" s="12" t="inlineStr">
        <is>
          <t>30</t>
        </is>
      </c>
      <c r="AJ312" s="7" t="inlineStr">
        <is>
          <t>31</t>
        </is>
      </c>
    </row>
    <row r="313">
      <c r="A313" s="1" t="inlineStr">
        <is>
          <t>51867-3</t>
        </is>
      </c>
      <c r="B313" s="1" t="inlineStr">
        <is>
          <t>KANEHARA MO</t>
        </is>
      </c>
      <c r="C313" s="1" t="inlineStr"/>
      <c r="D313" s="1" t="inlineStr"/>
      <c r="E313" s="1" t="n">
        <v>219</v>
      </c>
      <c r="F313" s="9" t="inlineStr">
        <is>
          <t>H/VAC</t>
        </is>
      </c>
      <c r="G313" s="9" t="inlineStr">
        <is>
          <t>RCBT
CBT1 TRN
GS
GS-C TRN
DIT
DIT TRN</t>
        </is>
      </c>
      <c r="H313" s="9" t="inlineStr">
        <is>
          <t>809
VLDE TRN</t>
        </is>
      </c>
      <c r="I313" s="9" t="inlineStr">
        <is>
          <t>802
VLDE TRN</t>
        </is>
      </c>
      <c r="J313" s="9" t="inlineStr">
        <is>
          <t>H</t>
        </is>
      </c>
      <c r="K313" s="9" t="inlineStr">
        <is>
          <t>505
VLDE TRN
506
VLDE TRN
517
VLDE TRN</t>
        </is>
      </c>
      <c r="L313" s="9" t="inlineStr">
        <is>
          <t>516
VLDE TRN
527
VLDE TRN
528
VLDE TRN</t>
        </is>
      </c>
      <c r="M313" s="9" t="inlineStr">
        <is>
          <t>BLK</t>
        </is>
      </c>
      <c r="N313" s="9" t="inlineStr">
        <is>
          <t>H*/VAC</t>
        </is>
      </c>
      <c r="O313" s="9" t="inlineStr">
        <is>
          <t>95
VLDE TRN</t>
        </is>
      </c>
      <c r="P313" s="9" t="inlineStr">
        <is>
          <t>---</t>
        </is>
      </c>
      <c r="Q313" s="9" t="inlineStr">
        <is>
          <t>90
VLDE TRN
225DH</t>
        </is>
      </c>
      <c r="R313" s="9" t="inlineStr">
        <is>
          <t>891
VLDE TRN
894
VLDE TRN
228DH</t>
        </is>
      </c>
      <c r="S313" s="9" t="inlineStr">
        <is>
          <t>*H</t>
        </is>
      </c>
      <c r="T313" s="9" t="inlineStr">
        <is>
          <t>18</t>
        </is>
      </c>
      <c r="U313" s="9" t="inlineStr">
        <is>
          <t>---</t>
        </is>
      </c>
      <c r="V313" s="9" t="inlineStr">
        <is>
          <t>17</t>
        </is>
      </c>
      <c r="W313" s="9" t="inlineStr">
        <is>
          <t>H/VAC</t>
        </is>
      </c>
      <c r="X313" s="9" t="inlineStr">
        <is>
          <t>H</t>
        </is>
      </c>
      <c r="Y313" s="9" t="inlineStr">
        <is>
          <t>HH</t>
        </is>
      </c>
      <c r="Z313" s="9" t="inlineStr">
        <is>
          <t>HH</t>
        </is>
      </c>
      <c r="AA313" s="9" t="inlineStr">
        <is>
          <t>305
308
515</t>
        </is>
      </c>
      <c r="AB313" s="9" t="inlineStr">
        <is>
          <t>514
329
332</t>
        </is>
      </c>
      <c r="AC313" s="9" t="inlineStr">
        <is>
          <t>R</t>
        </is>
      </c>
      <c r="AD313" s="9" t="inlineStr">
        <is>
          <t>PH3
TRN</t>
        </is>
      </c>
      <c r="AE313" s="9" t="inlineStr">
        <is>
          <t>PH3
TRN
#2
19:00-23:00</t>
        </is>
      </c>
      <c r="AF313" s="9" t="inlineStr">
        <is>
          <t>H</t>
        </is>
      </c>
      <c r="AG313" s="9" t="inlineStr">
        <is>
          <t>H</t>
        </is>
      </c>
      <c r="AH313" s="9" t="inlineStr">
        <is>
          <t>M11
TRN
#1
10:00-11:00</t>
        </is>
      </c>
      <c r="AI313" s="9" t="inlineStr">
        <is>
          <t>M12
TRN
#1
19:00-23:00</t>
        </is>
      </c>
      <c r="AJ313" s="9" t="inlineStr">
        <is>
          <t>R</t>
        </is>
      </c>
    </row>
    <row r="314">
      <c r="A314" s="1" t="inlineStr">
        <is>
          <t>51867-4</t>
        </is>
      </c>
      <c r="B314" s="1" t="inlineStr">
        <is>
          <t>KANEHARA MO</t>
        </is>
      </c>
      <c r="C314" s="1" t="inlineStr"/>
      <c r="D314" s="1" t="inlineStr"/>
      <c r="E314" s="1" t="n"/>
      <c r="F314" s="9" t="inlineStr"/>
      <c r="G314" s="9" t="inlineStr"/>
      <c r="H314" s="9">
        <f>HYPERLINK("#Schedule!F128", "小島 MA (37757)")</f>
        <v/>
      </c>
      <c r="I314" s="9">
        <f>HYPERLINK("#Schedule!F128", "小島 MA (37757)")</f>
        <v/>
      </c>
      <c r="J314" s="9" t="inlineStr"/>
      <c r="K314" s="9">
        <f>HYPERLINK("#Schedule!F212", "白井 MC (41213)")</f>
        <v/>
      </c>
      <c r="L314" s="9">
        <f>HYPERLINK("#Schedule!F212", "白井 MC (41213)")</f>
        <v/>
      </c>
      <c r="M314" s="9" t="inlineStr"/>
      <c r="N314" s="9" t="inlineStr"/>
      <c r="O314" s="9">
        <f>HYPERLINK("#Schedule!F102", "下村 HI (41558)")</f>
        <v/>
      </c>
      <c r="P314" s="9" t="inlineStr"/>
      <c r="Q314" s="9">
        <f>HYPERLINK("#Schedule!F102", "下村 HI (41558)")</f>
        <v/>
      </c>
      <c r="R314" s="9">
        <f>HYPERLINK("#Schedule!F102", "下村 HI (41558)")</f>
        <v/>
      </c>
      <c r="S314" s="9" t="inlineStr"/>
      <c r="T314" s="9" t="inlineStr"/>
      <c r="U314" s="9" t="inlineStr"/>
      <c r="V314" s="9" t="inlineStr"/>
      <c r="W314" s="9" t="inlineStr"/>
      <c r="X314" s="9" t="inlineStr"/>
      <c r="Y314" s="9" t="inlineStr"/>
      <c r="Z314" s="9" t="inlineStr"/>
      <c r="AA314" s="9" t="inlineStr"/>
      <c r="AB314" s="9" t="inlineStr"/>
      <c r="AC314" s="9" t="inlineStr"/>
      <c r="AD314" s="9" t="inlineStr"/>
      <c r="AE314" s="9">
        <f>HYPERLINK("#Schedule!F165", "I伊藤 SE (49240)")</f>
        <v/>
      </c>
      <c r="AF314" s="9" t="inlineStr"/>
      <c r="AG314" s="9" t="inlineStr"/>
      <c r="AH314" s="9" t="inlineStr"/>
      <c r="AI314" s="9">
        <f>HYPERLINK("#Schedule!F169", "I今井 HI (49241)")</f>
        <v/>
      </c>
      <c r="AJ314" s="9" t="inlineStr"/>
    </row>
    <row r="315">
      <c r="A315" s="1" t="inlineStr">
        <is>
          <t>53819-1</t>
        </is>
      </c>
      <c r="B315" s="1" t="inlineStr">
        <is>
          <t>IGAUE GE</t>
        </is>
      </c>
      <c r="C315" s="1" t="inlineStr"/>
      <c r="D315" s="1" t="inlineStr"/>
      <c r="E315" s="1" t="n">
        <v>208</v>
      </c>
      <c r="F315" s="4" t="inlineStr">
        <is>
          <t>IGAUEGE</t>
        </is>
      </c>
      <c r="G315" s="4" t="inlineStr">
        <is>
          <t>GE</t>
        </is>
      </c>
      <c r="H315" s="4" t="inlineStr">
        <is>
          <t>機種：</t>
        </is>
      </c>
      <c r="I315" s="4" t="inlineStr">
        <is>
          <t>787</t>
        </is>
      </c>
      <c r="J315" s="4" t="inlineStr">
        <is>
          <t>ランク：</t>
        </is>
      </c>
      <c r="K315" s="4" t="inlineStr">
        <is>
          <t>FO</t>
        </is>
      </c>
      <c r="L315" s="4" t="inlineStr">
        <is>
          <t>期：</t>
        </is>
      </c>
      <c r="M315" s="4" t="inlineStr">
        <is>
          <t>208</t>
        </is>
      </c>
      <c r="N315" s="4" t="inlineStr">
        <is>
          <t>職番：</t>
        </is>
      </c>
      <c r="O315" s="4" t="inlineStr">
        <is>
          <t>00053819</t>
        </is>
      </c>
      <c r="P315" s="4" t="inlineStr">
        <is>
          <t>所属：</t>
        </is>
      </c>
      <c r="Q315" s="4" t="inlineStr">
        <is>
          <t>NWZNW</t>
        </is>
      </c>
      <c r="R315" s="4" t="inlineStr">
        <is>
          <t>CAT資：</t>
        </is>
      </c>
      <c r="S315" s="4" t="inlineStr">
        <is>
          <t>CAT3</t>
        </is>
      </c>
      <c r="T315" s="4" t="inlineStr">
        <is>
          <t>T/O：</t>
        </is>
      </c>
      <c r="U315" s="4" t="inlineStr">
        <is>
          <t>3T250814</t>
        </is>
      </c>
      <c r="V315" s="4" t="inlineStr">
        <is>
          <t>L/D：</t>
        </is>
      </c>
      <c r="W315" s="4" t="inlineStr">
        <is>
          <t>3L250825</t>
        </is>
      </c>
      <c r="X315" s="4" t="inlineStr">
        <is>
          <t>PE：</t>
        </is>
      </c>
      <c r="Y315" s="5" t="inlineStr">
        <is>
          <t>PE260407</t>
        </is>
      </c>
      <c r="Z315" s="4" t="inlineStr">
        <is>
          <t>誕生月：</t>
        </is>
      </c>
      <c r="AA315" s="4" t="inlineStr">
        <is>
          <t>09</t>
        </is>
      </c>
      <c r="AB315" s="6" t="inlineStr">
        <is>
          <t>電話：</t>
        </is>
      </c>
      <c r="AC315" s="6" t="inlineStr">
        <is>
          <t>080-3821-9821</t>
        </is>
      </c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</row>
    <row r="316">
      <c r="A316" s="1" t="inlineStr">
        <is>
          <t>53819-2</t>
        </is>
      </c>
      <c r="B316" s="1" t="inlineStr">
        <is>
          <t>IGAUE GE</t>
        </is>
      </c>
      <c r="C316" s="1" t="inlineStr"/>
      <c r="D316" s="1" t="inlineStr"/>
      <c r="E316" s="1" t="n">
        <v>208</v>
      </c>
      <c r="F316" s="7" t="inlineStr">
        <is>
          <t>01</t>
        </is>
      </c>
      <c r="G316" s="7" t="inlineStr">
        <is>
          <t>02</t>
        </is>
      </c>
      <c r="H316" s="7" t="inlineStr">
        <is>
          <t>03</t>
        </is>
      </c>
      <c r="I316" s="7" t="inlineStr">
        <is>
          <t>04</t>
        </is>
      </c>
      <c r="J316" s="7" t="inlineStr">
        <is>
          <t>05</t>
        </is>
      </c>
      <c r="K316" s="7" t="inlineStr">
        <is>
          <t>06</t>
        </is>
      </c>
      <c r="L316" s="7" t="inlineStr">
        <is>
          <t>07</t>
        </is>
      </c>
      <c r="M316" s="7" t="inlineStr">
        <is>
          <t>08</t>
        </is>
      </c>
      <c r="N316" s="7" t="inlineStr">
        <is>
          <t>09</t>
        </is>
      </c>
      <c r="O316" s="7" t="inlineStr">
        <is>
          <t>10</t>
        </is>
      </c>
      <c r="P316" s="7" t="inlineStr">
        <is>
          <t>11</t>
        </is>
      </c>
      <c r="Q316" s="7" t="inlineStr">
        <is>
          <t>12</t>
        </is>
      </c>
      <c r="R316" s="7" t="inlineStr">
        <is>
          <t>13</t>
        </is>
      </c>
      <c r="S316" s="7" t="inlineStr">
        <is>
          <t>14</t>
        </is>
      </c>
      <c r="T316" s="7" t="inlineStr">
        <is>
          <t>15</t>
        </is>
      </c>
      <c r="U316" s="7" t="inlineStr">
        <is>
          <t>16</t>
        </is>
      </c>
      <c r="V316" s="7" t="inlineStr">
        <is>
          <t>17</t>
        </is>
      </c>
      <c r="W316" s="7" t="inlineStr">
        <is>
          <t>18</t>
        </is>
      </c>
      <c r="X316" s="7" t="inlineStr">
        <is>
          <t>19</t>
        </is>
      </c>
      <c r="Y316" s="7" t="inlineStr">
        <is>
          <t>20</t>
        </is>
      </c>
      <c r="Z316" s="7" t="inlineStr">
        <is>
          <t>21</t>
        </is>
      </c>
      <c r="AA316" s="7" t="inlineStr">
        <is>
          <t>22</t>
        </is>
      </c>
      <c r="AB316" s="7" t="inlineStr">
        <is>
          <t>23</t>
        </is>
      </c>
      <c r="AC316" s="7" t="inlineStr">
        <is>
          <t>24</t>
        </is>
      </c>
      <c r="AD316" s="13" t="inlineStr">
        <is>
          <t>25</t>
        </is>
      </c>
      <c r="AE316" s="7" t="inlineStr">
        <is>
          <t>26</t>
        </is>
      </c>
      <c r="AF316" s="7" t="inlineStr">
        <is>
          <t>27</t>
        </is>
      </c>
      <c r="AG316" s="7" t="inlineStr">
        <is>
          <t>28</t>
        </is>
      </c>
      <c r="AH316" s="7" t="inlineStr">
        <is>
          <t>29</t>
        </is>
      </c>
      <c r="AI316" s="7" t="inlineStr">
        <is>
          <t>30</t>
        </is>
      </c>
      <c r="AJ316" s="7" t="inlineStr">
        <is>
          <t>31</t>
        </is>
      </c>
    </row>
    <row r="317">
      <c r="A317" s="1" t="inlineStr">
        <is>
          <t>53819-3</t>
        </is>
      </c>
      <c r="B317" s="1" t="inlineStr">
        <is>
          <t>IGAUE GE</t>
        </is>
      </c>
      <c r="C317" s="1" t="inlineStr"/>
      <c r="D317" s="1" t="inlineStr"/>
      <c r="E317" s="1" t="n">
        <v>208</v>
      </c>
      <c r="F317" s="9" t="inlineStr">
        <is>
          <t>H</t>
        </is>
      </c>
      <c r="G317" s="9" t="inlineStr">
        <is>
          <t>S05</t>
        </is>
      </c>
      <c r="H317" s="9" t="inlineStr">
        <is>
          <t>S06</t>
        </is>
      </c>
      <c r="I317" s="9" t="inlineStr">
        <is>
          <t>707</t>
        </is>
      </c>
      <c r="J317" s="9" t="inlineStr">
        <is>
          <t>---</t>
        </is>
      </c>
      <c r="K317" s="9" t="inlineStr">
        <is>
          <t>728
224DH</t>
        </is>
      </c>
      <c r="L317" s="9" t="inlineStr">
        <is>
          <t>H</t>
        </is>
      </c>
      <c r="M317" s="9" t="inlineStr">
        <is>
          <t>735</t>
        </is>
      </c>
      <c r="N317" s="9" t="inlineStr">
        <is>
          <t>26</t>
        </is>
      </c>
      <c r="O317" s="9" t="inlineStr">
        <is>
          <t>H</t>
        </is>
      </c>
      <c r="P317" s="9" t="inlineStr">
        <is>
          <t>H</t>
        </is>
      </c>
      <c r="Q317" s="9" t="inlineStr">
        <is>
          <t>H</t>
        </is>
      </c>
      <c r="R317" s="9" t="inlineStr">
        <is>
          <t>S05</t>
        </is>
      </c>
      <c r="S317" s="9" t="inlineStr">
        <is>
          <t>S05</t>
        </is>
      </c>
      <c r="T317" s="9" t="inlineStr">
        <is>
          <t>407</t>
        </is>
      </c>
      <c r="U317" s="9" t="inlineStr">
        <is>
          <t>---</t>
        </is>
      </c>
      <c r="V317" s="9" t="inlineStr">
        <is>
          <t>---</t>
        </is>
      </c>
      <c r="W317" s="9" t="inlineStr">
        <is>
          <t>408</t>
        </is>
      </c>
      <c r="X317" s="9" t="inlineStr">
        <is>
          <t>*H</t>
        </is>
      </c>
      <c r="Y317" s="9" t="inlineStr">
        <is>
          <t>HH</t>
        </is>
      </c>
      <c r="Z317" s="9" t="inlineStr">
        <is>
          <t>VAC</t>
        </is>
      </c>
      <c r="AA317" s="9" t="inlineStr">
        <is>
          <t>VAC</t>
        </is>
      </c>
      <c r="AB317" s="9" t="inlineStr">
        <is>
          <t>VAC</t>
        </is>
      </c>
      <c r="AC317" s="9" t="inlineStr">
        <is>
          <t>CAUG
TRN</t>
        </is>
      </c>
      <c r="AD317" s="9" t="inlineStr">
        <is>
          <t>CAUG
TRN
#2
13:00-17:00
OPGS2</t>
        </is>
      </c>
      <c r="AE317" s="9" t="inlineStr">
        <is>
          <t>HH</t>
        </is>
      </c>
      <c r="AF317" s="9" t="inlineStr">
        <is>
          <t>CAUG
TRN</t>
        </is>
      </c>
      <c r="AG317" s="9" t="inlineStr">
        <is>
          <t>CAUG
TRN</t>
        </is>
      </c>
      <c r="AH317" s="9" t="inlineStr">
        <is>
          <t>H</t>
        </is>
      </c>
      <c r="AI317" s="9" t="inlineStr">
        <is>
          <t>CAUG
TRN</t>
        </is>
      </c>
      <c r="AJ317" s="9" t="inlineStr">
        <is>
          <t>H</t>
        </is>
      </c>
    </row>
    <row r="318">
      <c r="A318" s="1" t="inlineStr">
        <is>
          <t>53819-4</t>
        </is>
      </c>
      <c r="B318" s="1" t="inlineStr">
        <is>
          <t>IGAUE GE</t>
        </is>
      </c>
      <c r="C318" s="1" t="inlineStr"/>
      <c r="D318" s="1" t="inlineStr"/>
      <c r="E318" s="1" t="n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  <c r="P318" s="9" t="inlineStr"/>
      <c r="Q318" s="9" t="inlineStr"/>
      <c r="R318" s="9" t="inlineStr"/>
      <c r="S318" s="9" t="inlineStr"/>
      <c r="T318" s="9" t="inlineStr"/>
      <c r="U318" s="9" t="inlineStr"/>
      <c r="V318" s="9" t="inlineStr"/>
      <c r="W318" s="9" t="inlineStr"/>
      <c r="X318" s="9" t="inlineStr"/>
      <c r="Y318" s="9" t="inlineStr"/>
      <c r="Z318" s="9" t="inlineStr"/>
      <c r="AA318" s="9" t="inlineStr"/>
      <c r="AB318" s="9" t="inlineStr"/>
      <c r="AC318" s="9" t="inlineStr"/>
      <c r="AD318" s="9" t="inlineStr">
        <is>
          <t>I宇治 TO</t>
        </is>
      </c>
      <c r="AE318" s="9" t="inlineStr"/>
      <c r="AF318" s="9" t="inlineStr"/>
      <c r="AG318" s="9" t="inlineStr"/>
      <c r="AH318" s="9" t="inlineStr"/>
      <c r="AI318" s="9" t="inlineStr"/>
      <c r="AJ318" s="9" t="inlineStr"/>
    </row>
    <row r="319">
      <c r="A319" s="1" t="inlineStr">
        <is>
          <t>53819-5</t>
        </is>
      </c>
      <c r="B319" s="1" t="inlineStr">
        <is>
          <t>IGAUE GE</t>
        </is>
      </c>
      <c r="C319" s="1" t="inlineStr"/>
      <c r="D319" s="1" t="inlineStr"/>
      <c r="E319" s="1" t="n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  <c r="P319" s="9" t="inlineStr"/>
      <c r="Q319" s="9" t="inlineStr"/>
      <c r="R319" s="9" t="inlineStr"/>
      <c r="S319" s="9" t="inlineStr"/>
      <c r="T319" s="9" t="inlineStr"/>
      <c r="U319" s="9" t="inlineStr"/>
      <c r="V319" s="9" t="inlineStr"/>
      <c r="W319" s="9" t="inlineStr"/>
      <c r="X319" s="9" t="inlineStr"/>
      <c r="Y319" s="9" t="inlineStr"/>
      <c r="Z319" s="9" t="inlineStr"/>
      <c r="AA319" s="9" t="inlineStr"/>
      <c r="AB319" s="9" t="inlineStr"/>
      <c r="AC319" s="9" t="inlineStr"/>
      <c r="AD319" s="9">
        <f>HYPERLINK("#Schedule!F10", "I佐々木MA (45028)")</f>
        <v/>
      </c>
      <c r="AE319" s="9" t="inlineStr"/>
      <c r="AF319" s="9" t="inlineStr"/>
      <c r="AG319" s="9" t="inlineStr"/>
      <c r="AH319" s="9" t="inlineStr"/>
      <c r="AI319" s="9" t="inlineStr"/>
      <c r="AJ319" s="9" t="inlineStr"/>
    </row>
    <row r="320">
      <c r="A320" s="1" t="inlineStr">
        <is>
          <t>38601-1</t>
        </is>
      </c>
      <c r="B320" s="1" t="inlineStr">
        <is>
          <t>OTA KA</t>
        </is>
      </c>
      <c r="C320" s="1" t="inlineStr"/>
      <c r="D320" s="1" t="inlineStr"/>
      <c r="E320" s="1" t="n">
        <v>182</v>
      </c>
      <c r="F320" s="4" t="inlineStr">
        <is>
          <t>OTAKA</t>
        </is>
      </c>
      <c r="G320" s="4" t="inlineStr">
        <is>
          <t>KA</t>
        </is>
      </c>
      <c r="H320" s="4" t="inlineStr">
        <is>
          <t>機種：</t>
        </is>
      </c>
      <c r="I320" s="4" t="inlineStr">
        <is>
          <t>787</t>
        </is>
      </c>
      <c r="J320" s="4" t="inlineStr">
        <is>
          <t>ランク：</t>
        </is>
      </c>
      <c r="K320" s="4" t="inlineStr">
        <is>
          <t>FO</t>
        </is>
      </c>
      <c r="L320" s="4" t="inlineStr">
        <is>
          <t>期：</t>
        </is>
      </c>
      <c r="M320" s="4" t="inlineStr">
        <is>
          <t>182</t>
        </is>
      </c>
      <c r="N320" s="4" t="inlineStr">
        <is>
          <t>職番：</t>
        </is>
      </c>
      <c r="O320" s="4" t="inlineStr">
        <is>
          <t>00038601</t>
        </is>
      </c>
      <c r="P320" s="4" t="inlineStr">
        <is>
          <t>所属：</t>
        </is>
      </c>
      <c r="Q320" s="4" t="inlineStr">
        <is>
          <t>NWZNW</t>
        </is>
      </c>
      <c r="R320" s="4" t="inlineStr">
        <is>
          <t>CAT資：</t>
        </is>
      </c>
      <c r="S320" s="4" t="inlineStr">
        <is>
          <t>CAT3</t>
        </is>
      </c>
      <c r="T320" s="4" t="inlineStr">
        <is>
          <t>T/O：</t>
        </is>
      </c>
      <c r="U320" s="4" t="inlineStr">
        <is>
          <t>3T251008</t>
        </is>
      </c>
      <c r="V320" s="4" t="inlineStr">
        <is>
          <t>L/D：</t>
        </is>
      </c>
      <c r="W320" s="4" t="inlineStr">
        <is>
          <t>3L251008</t>
        </is>
      </c>
      <c r="X320" s="4" t="inlineStr">
        <is>
          <t>PE：</t>
        </is>
      </c>
      <c r="Y320" s="5" t="inlineStr">
        <is>
          <t>PE260601</t>
        </is>
      </c>
      <c r="Z320" s="4" t="inlineStr">
        <is>
          <t>誕生月：</t>
        </is>
      </c>
      <c r="AA320" s="4" t="inlineStr">
        <is>
          <t>08</t>
        </is>
      </c>
      <c r="AB320" s="6" t="inlineStr">
        <is>
          <t>電話：</t>
        </is>
      </c>
      <c r="AC320" s="6" t="inlineStr">
        <is>
          <t>090-6537-7221</t>
        </is>
      </c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1" t="inlineStr">
        <is>
          <t>38601-2</t>
        </is>
      </c>
      <c r="B321" s="1" t="inlineStr">
        <is>
          <t>OTA KA</t>
        </is>
      </c>
      <c r="C321" s="1" t="inlineStr"/>
      <c r="D321" s="1" t="inlineStr"/>
      <c r="E321" s="1" t="n">
        <v>182</v>
      </c>
      <c r="F321" s="7" t="inlineStr">
        <is>
          <t>01</t>
        </is>
      </c>
      <c r="G321" s="13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8" t="inlineStr">
        <is>
          <t>07</t>
        </is>
      </c>
      <c r="M321" s="8" t="inlineStr">
        <is>
          <t>08</t>
        </is>
      </c>
      <c r="N321" s="7" t="inlineStr">
        <is>
          <t>09</t>
        </is>
      </c>
      <c r="O321" s="7" t="inlineStr">
        <is>
          <t>10</t>
        </is>
      </c>
      <c r="P321" s="8" t="inlineStr">
        <is>
          <t>11</t>
        </is>
      </c>
      <c r="Q321" s="7" t="inlineStr">
        <is>
          <t>12</t>
        </is>
      </c>
      <c r="R321" s="8" t="inlineStr">
        <is>
          <t>13</t>
        </is>
      </c>
      <c r="S321" s="7" t="inlineStr">
        <is>
          <t>14</t>
        </is>
      </c>
      <c r="T321" s="8" t="inlineStr">
        <is>
          <t>15</t>
        </is>
      </c>
      <c r="U321" s="7" t="inlineStr">
        <is>
          <t>16</t>
        </is>
      </c>
      <c r="V321" s="8" t="inlineStr">
        <is>
          <t>17</t>
        </is>
      </c>
      <c r="W321" s="8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8" t="inlineStr">
        <is>
          <t>27</t>
        </is>
      </c>
      <c r="AG321" s="8" t="inlineStr">
        <is>
          <t>28</t>
        </is>
      </c>
      <c r="AH321" s="7" t="inlineStr">
        <is>
          <t>29</t>
        </is>
      </c>
      <c r="AI321" s="8" t="inlineStr">
        <is>
          <t>30</t>
        </is>
      </c>
      <c r="AJ321" s="8" t="inlineStr">
        <is>
          <t>31</t>
        </is>
      </c>
    </row>
    <row r="322">
      <c r="A322" s="1" t="inlineStr">
        <is>
          <t>38601-3</t>
        </is>
      </c>
      <c r="B322" s="1" t="inlineStr">
        <is>
          <t>OTA KA</t>
        </is>
      </c>
      <c r="C322" s="1" t="inlineStr"/>
      <c r="D322" s="1" t="inlineStr"/>
      <c r="E322" s="1" t="n">
        <v>182</v>
      </c>
      <c r="F322" s="9" t="inlineStr">
        <is>
          <t>*H</t>
        </is>
      </c>
      <c r="G322" s="9" t="inlineStr">
        <is>
          <t>RCBT
CBT1 TRN
GS
GS-C TRN
DIT
DIT TRN</t>
        </is>
      </c>
      <c r="H322" s="9" t="inlineStr">
        <is>
          <t>BLK</t>
        </is>
      </c>
      <c r="I322" s="9" t="inlineStr">
        <is>
          <t>CAUG
TRN
#1
21:00-23:00
OJTS</t>
        </is>
      </c>
      <c r="J322" s="9" t="inlineStr">
        <is>
          <t>H</t>
        </is>
      </c>
      <c r="K322" s="9" t="inlineStr">
        <is>
          <t>H</t>
        </is>
      </c>
      <c r="L322" s="9" t="inlineStr">
        <is>
          <t>735
CAUG TRN</t>
        </is>
      </c>
      <c r="M322" s="9" t="inlineStr">
        <is>
          <t>26
CAUG TRN</t>
        </is>
      </c>
      <c r="N322" s="9" t="inlineStr">
        <is>
          <t>HH</t>
        </is>
      </c>
      <c r="O322" s="9" t="inlineStr">
        <is>
          <t>H</t>
        </is>
      </c>
      <c r="P322" s="9" t="inlineStr">
        <is>
          <t>23
CAUG TRN
24
CAUG TRN</t>
        </is>
      </c>
      <c r="Q322" s="9" t="inlineStr">
        <is>
          <t>BLK</t>
        </is>
      </c>
      <c r="R322" s="9" t="inlineStr">
        <is>
          <t>725
CAUG TRN</t>
        </is>
      </c>
      <c r="S322" s="9" t="inlineStr">
        <is>
          <t>---</t>
        </is>
      </c>
      <c r="T322" s="9" t="inlineStr">
        <is>
          <t>726
CAUG TRN</t>
        </is>
      </c>
      <c r="U322" s="9" t="inlineStr">
        <is>
          <t>H</t>
        </is>
      </c>
      <c r="V322" s="9" t="inlineStr">
        <is>
          <t>517
CAUG TRN</t>
        </is>
      </c>
      <c r="W322" s="9" t="inlineStr">
        <is>
          <t>516
CAUG TRN
527
CAUG TRN
528
CAUG TRN</t>
        </is>
      </c>
      <c r="X322" s="9" t="inlineStr">
        <is>
          <t>H</t>
        </is>
      </c>
      <c r="Y322" s="9" t="inlineStr">
        <is>
          <t>H</t>
        </is>
      </c>
      <c r="Z322" s="9" t="inlineStr">
        <is>
          <t>H</t>
        </is>
      </c>
      <c r="AA322" s="9" t="inlineStr">
        <is>
          <t>GMT0</t>
        </is>
      </c>
      <c r="AB322" s="9" t="inlineStr">
        <is>
          <t>HH</t>
        </is>
      </c>
      <c r="AC322" s="9" t="inlineStr">
        <is>
          <t>735
CAUG TRN</t>
        </is>
      </c>
      <c r="AD322" s="9" t="inlineStr">
        <is>
          <t>26
CAUG TRN</t>
        </is>
      </c>
      <c r="AE322" s="9" t="inlineStr">
        <is>
          <t>BLK</t>
        </is>
      </c>
      <c r="AF322" s="9" t="inlineStr">
        <is>
          <t>101
CAUG TRN
106
CAUG TRN
113
CAUG TRN</t>
        </is>
      </c>
      <c r="AG322" s="9" t="inlineStr">
        <is>
          <t>104
CAUG TRN</t>
        </is>
      </c>
      <c r="AH322" s="9" t="inlineStr">
        <is>
          <t>BLK</t>
        </is>
      </c>
      <c r="AI322" s="9" t="inlineStr">
        <is>
          <t>99
CAUG TRN</t>
        </is>
      </c>
      <c r="AJ322" s="9" t="inlineStr">
        <is>
          <t>96
CAUG TRN</t>
        </is>
      </c>
    </row>
    <row r="323">
      <c r="A323" s="1" t="inlineStr">
        <is>
          <t>38601-4</t>
        </is>
      </c>
      <c r="B323" s="1" t="inlineStr">
        <is>
          <t>OTA KA</t>
        </is>
      </c>
      <c r="C323" s="1" t="inlineStr"/>
      <c r="D323" s="1" t="inlineStr"/>
      <c r="E323" s="1" t="n"/>
      <c r="F323" s="9" t="inlineStr"/>
      <c r="G323" s="9" t="inlineStr"/>
      <c r="H323" s="9" t="inlineStr"/>
      <c r="I323" s="9">
        <f>HYPERLINK("#Schedule!F165", "I伊藤 SE (49240)")</f>
        <v/>
      </c>
      <c r="J323" s="9" t="inlineStr"/>
      <c r="K323" s="9" t="inlineStr"/>
      <c r="L323" s="9">
        <f>HYPERLINK("#Schedule!F187", "石川  (67667)")</f>
        <v/>
      </c>
      <c r="M323" s="9">
        <f>HYPERLINK("#Schedule!F187", "石川  (67667)")</f>
        <v/>
      </c>
      <c r="N323" s="9" t="inlineStr"/>
      <c r="O323" s="9" t="inlineStr"/>
      <c r="P323" s="9">
        <f>HYPERLINK("#Schedule!F73", "木村  (41574)")</f>
        <v/>
      </c>
      <c r="Q323" s="9" t="inlineStr"/>
      <c r="R323" s="9">
        <f>HYPERLINK("#Schedule!F173", "藤野 AK (42421)")</f>
        <v/>
      </c>
      <c r="S323" s="9" t="inlineStr"/>
      <c r="T323" s="9">
        <f>HYPERLINK("#Schedule!F173", "藤野 AK (42421)")</f>
        <v/>
      </c>
      <c r="U323" s="9" t="inlineStr"/>
      <c r="V323" s="9">
        <f>HYPERLINK("#Schedule!F248", "齊藤 SN (38561)")</f>
        <v/>
      </c>
      <c r="W323" s="9">
        <f>HYPERLINK("#Schedule!F248", "齊藤 SN (38561)")</f>
        <v/>
      </c>
      <c r="X323" s="9" t="inlineStr"/>
      <c r="Y323" s="9" t="inlineStr"/>
      <c r="Z323" s="9" t="inlineStr"/>
      <c r="AA323" s="9" t="inlineStr"/>
      <c r="AB323" s="9" t="inlineStr"/>
      <c r="AC323" s="9">
        <f>HYPERLINK("#Schedule!F160", "岡本 KA (41662)")</f>
        <v/>
      </c>
      <c r="AD323" s="9">
        <f>HYPERLINK("#Schedule!F160", "岡本 KA (41662)")</f>
        <v/>
      </c>
      <c r="AE323" s="9" t="inlineStr"/>
      <c r="AF323" s="9">
        <f>HYPERLINK("#Schedule!F143", "山本 ST (37736)")</f>
        <v/>
      </c>
      <c r="AG323" s="9">
        <f>HYPERLINK("#Schedule!F143", "山本 ST (37736)")</f>
        <v/>
      </c>
      <c r="AH323" s="9" t="inlineStr"/>
      <c r="AI323" s="9">
        <f>HYPERLINK("#Schedule!F156", "原口 HR (41170)")</f>
        <v/>
      </c>
      <c r="AJ323" s="9">
        <f>HYPERLINK("#Schedule!F156", "原口 HR (41170)")</f>
        <v/>
      </c>
    </row>
    <row r="324">
      <c r="A324" s="1" t="inlineStr">
        <is>
          <t>53827-1</t>
        </is>
      </c>
      <c r="B324" s="1" t="inlineStr">
        <is>
          <t>SUDA ME</t>
        </is>
      </c>
      <c r="C324" s="1" t="inlineStr"/>
      <c r="D324" s="1" t="inlineStr"/>
      <c r="E324" s="1" t="n">
        <v>209</v>
      </c>
      <c r="F324" s="4" t="inlineStr">
        <is>
          <t>SUDAME</t>
        </is>
      </c>
      <c r="G324" s="4" t="inlineStr">
        <is>
          <t>ME</t>
        </is>
      </c>
      <c r="H324" s="4" t="inlineStr">
        <is>
          <t>機種：</t>
        </is>
      </c>
      <c r="I324" s="4" t="inlineStr">
        <is>
          <t>787</t>
        </is>
      </c>
      <c r="J324" s="4" t="inlineStr">
        <is>
          <t>ランク：</t>
        </is>
      </c>
      <c r="K324" s="4" t="inlineStr">
        <is>
          <t>FO</t>
        </is>
      </c>
      <c r="L324" s="4" t="inlineStr">
        <is>
          <t>期：</t>
        </is>
      </c>
      <c r="M324" s="4" t="inlineStr">
        <is>
          <t>209</t>
        </is>
      </c>
      <c r="N324" s="4" t="inlineStr">
        <is>
          <t>職番：</t>
        </is>
      </c>
      <c r="O324" s="4" t="inlineStr">
        <is>
          <t>00053827</t>
        </is>
      </c>
      <c r="P324" s="4" t="inlineStr">
        <is>
          <t>所属：</t>
        </is>
      </c>
      <c r="Q324" s="4" t="inlineStr">
        <is>
          <t>NWZNW</t>
        </is>
      </c>
      <c r="R324" s="4" t="inlineStr">
        <is>
          <t>CAT資：</t>
        </is>
      </c>
      <c r="S324" s="4" t="inlineStr">
        <is>
          <t>CAT3</t>
        </is>
      </c>
      <c r="T324" s="4" t="inlineStr">
        <is>
          <t>T/O：</t>
        </is>
      </c>
      <c r="U324" s="4" t="inlineStr">
        <is>
          <t>3T250817</t>
        </is>
      </c>
      <c r="V324" s="4" t="inlineStr">
        <is>
          <t>L/D：</t>
        </is>
      </c>
      <c r="W324" s="4" t="inlineStr">
        <is>
          <t>3L250817</t>
        </is>
      </c>
      <c r="X324" s="4" t="inlineStr">
        <is>
          <t>PE：</t>
        </is>
      </c>
      <c r="Y324" s="5" t="inlineStr">
        <is>
          <t>PE251006</t>
        </is>
      </c>
      <c r="Z324" s="4" t="inlineStr">
        <is>
          <t>誕生月：</t>
        </is>
      </c>
      <c r="AA324" s="4" t="inlineStr">
        <is>
          <t>04</t>
        </is>
      </c>
      <c r="AB324" s="6" t="inlineStr">
        <is>
          <t>電話：</t>
        </is>
      </c>
      <c r="AC324" s="6" t="inlineStr">
        <is>
          <t>080-6255-7378</t>
        </is>
      </c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</row>
    <row r="325">
      <c r="A325" s="1" t="inlineStr">
        <is>
          <t>53827-2</t>
        </is>
      </c>
      <c r="B325" s="1" t="inlineStr">
        <is>
          <t>SUDA ME</t>
        </is>
      </c>
      <c r="C325" s="1" t="inlineStr"/>
      <c r="D325" s="1" t="inlineStr"/>
      <c r="E325" s="1" t="n">
        <v>209</v>
      </c>
      <c r="F325" s="7" t="inlineStr">
        <is>
          <t>01</t>
        </is>
      </c>
      <c r="G325" s="7" t="inlineStr">
        <is>
          <t>02</t>
        </is>
      </c>
      <c r="H325" s="7" t="inlineStr">
        <is>
          <t>03</t>
        </is>
      </c>
      <c r="I325" s="7" t="inlineStr">
        <is>
          <t>04</t>
        </is>
      </c>
      <c r="J325" s="7" t="inlineStr">
        <is>
          <t>05</t>
        </is>
      </c>
      <c r="K325" s="7" t="inlineStr">
        <is>
          <t>06</t>
        </is>
      </c>
      <c r="L325" s="7" t="inlineStr">
        <is>
          <t>07</t>
        </is>
      </c>
      <c r="M325" s="7" t="inlineStr">
        <is>
          <t>08</t>
        </is>
      </c>
      <c r="N325" s="7" t="inlineStr">
        <is>
          <t>09</t>
        </is>
      </c>
      <c r="O325" s="7" t="inlineStr">
        <is>
          <t>10</t>
        </is>
      </c>
      <c r="P325" s="7" t="inlineStr">
        <is>
          <t>11</t>
        </is>
      </c>
      <c r="Q325" s="7" t="inlineStr">
        <is>
          <t>12</t>
        </is>
      </c>
      <c r="R325" s="7" t="inlineStr">
        <is>
          <t>13</t>
        </is>
      </c>
      <c r="S325" s="7" t="inlineStr">
        <is>
          <t>14</t>
        </is>
      </c>
      <c r="T325" s="7" t="inlineStr">
        <is>
          <t>15</t>
        </is>
      </c>
      <c r="U325" s="7" t="inlineStr">
        <is>
          <t>16</t>
        </is>
      </c>
      <c r="V325" s="7" t="inlineStr">
        <is>
          <t>17</t>
        </is>
      </c>
      <c r="W325" s="7" t="inlineStr">
        <is>
          <t>18</t>
        </is>
      </c>
      <c r="X325" s="7" t="inlineStr">
        <is>
          <t>19</t>
        </is>
      </c>
      <c r="Y325" s="7" t="inlineStr">
        <is>
          <t>20</t>
        </is>
      </c>
      <c r="Z325" s="7" t="inlineStr">
        <is>
          <t>21</t>
        </is>
      </c>
      <c r="AA325" s="13" t="inlineStr">
        <is>
          <t>22</t>
        </is>
      </c>
      <c r="AB325" s="7" t="inlineStr">
        <is>
          <t>23</t>
        </is>
      </c>
      <c r="AC325" s="7" t="inlineStr">
        <is>
          <t>24</t>
        </is>
      </c>
      <c r="AD325" s="7" t="inlineStr">
        <is>
          <t>25</t>
        </is>
      </c>
      <c r="AE325" s="7" t="inlineStr">
        <is>
          <t>26</t>
        </is>
      </c>
      <c r="AF325" s="7" t="inlineStr">
        <is>
          <t>27</t>
        </is>
      </c>
      <c r="AG325" s="7" t="inlineStr">
        <is>
          <t>28</t>
        </is>
      </c>
      <c r="AH325" s="7" t="inlineStr">
        <is>
          <t>29</t>
        </is>
      </c>
      <c r="AI325" s="7" t="inlineStr">
        <is>
          <t>30</t>
        </is>
      </c>
      <c r="AJ325" s="7" t="inlineStr">
        <is>
          <t>31</t>
        </is>
      </c>
    </row>
    <row r="326">
      <c r="A326" s="1" t="inlineStr">
        <is>
          <t>53827-3</t>
        </is>
      </c>
      <c r="B326" s="1" t="inlineStr">
        <is>
          <t>SUDA ME</t>
        </is>
      </c>
      <c r="C326" s="1" t="inlineStr"/>
      <c r="D326" s="1" t="inlineStr"/>
      <c r="E326" s="1" t="n">
        <v>209</v>
      </c>
      <c r="F326" s="9" t="inlineStr">
        <is>
          <t>SIK</t>
        </is>
      </c>
      <c r="G326" s="9" t="inlineStr">
        <is>
          <t>SIK</t>
        </is>
      </c>
      <c r="H326" s="9" t="inlineStr">
        <is>
          <t>H</t>
        </is>
      </c>
      <c r="I326" s="9" t="inlineStr">
        <is>
          <t>SIK</t>
        </is>
      </c>
      <c r="J326" s="9" t="inlineStr">
        <is>
          <t>SIK</t>
        </is>
      </c>
      <c r="K326" s="9" t="inlineStr">
        <is>
          <t>SIK</t>
        </is>
      </c>
      <c r="L326" s="9" t="inlineStr">
        <is>
          <t>SIK</t>
        </is>
      </c>
      <c r="M326" s="9" t="inlineStr">
        <is>
          <t>H</t>
        </is>
      </c>
      <c r="N326" s="9" t="inlineStr">
        <is>
          <t>SIK</t>
        </is>
      </c>
      <c r="O326" s="9" t="inlineStr">
        <is>
          <t>SIK</t>
        </is>
      </c>
      <c r="P326" s="9" t="inlineStr">
        <is>
          <t>SIK</t>
        </is>
      </c>
      <c r="Q326" s="9" t="inlineStr">
        <is>
          <t>H</t>
        </is>
      </c>
      <c r="R326" s="9" t="inlineStr">
        <is>
          <t>H</t>
        </is>
      </c>
      <c r="S326" s="9" t="inlineStr">
        <is>
          <t>SIK</t>
        </is>
      </c>
      <c r="T326" s="9" t="inlineStr">
        <is>
          <t>SIK</t>
        </is>
      </c>
      <c r="U326" s="9" t="inlineStr">
        <is>
          <t>H</t>
        </is>
      </c>
      <c r="V326" s="9" t="inlineStr">
        <is>
          <t>MIDNIT</t>
        </is>
      </c>
      <c r="W326" s="9" t="inlineStr">
        <is>
          <t>77</t>
        </is>
      </c>
      <c r="X326" s="9" t="inlineStr">
        <is>
          <t>746</t>
        </is>
      </c>
      <c r="Y326" s="9" t="inlineStr">
        <is>
          <t>H</t>
        </is>
      </c>
      <c r="Z326" s="9" t="inlineStr">
        <is>
          <t>H</t>
        </is>
      </c>
      <c r="AA326" s="9" t="inlineStr">
        <is>
          <t>EDU
PH TRN
GMT0</t>
        </is>
      </c>
      <c r="AB326" s="9" t="inlineStr">
        <is>
          <t>H/VAC</t>
        </is>
      </c>
      <c r="AC326" s="9" t="inlineStr">
        <is>
          <t>R_</t>
        </is>
      </c>
      <c r="AD326" s="9" t="inlineStr">
        <is>
          <t>H</t>
        </is>
      </c>
      <c r="AE326" s="9" t="inlineStr">
        <is>
          <t>133
138</t>
        </is>
      </c>
      <c r="AF326" s="9" t="inlineStr">
        <is>
          <t>R_</t>
        </is>
      </c>
      <c r="AG326" s="9" t="inlineStr">
        <is>
          <t>133
138</t>
        </is>
      </c>
      <c r="AH326" s="9" t="inlineStr">
        <is>
          <t>HH</t>
        </is>
      </c>
      <c r="AI326" s="9" t="inlineStr">
        <is>
          <t>HH</t>
        </is>
      </c>
      <c r="AJ326" s="9" t="inlineStr">
        <is>
          <t>VACN</t>
        </is>
      </c>
    </row>
    <row r="327">
      <c r="A327" s="1" t="inlineStr">
        <is>
          <t>53827-4</t>
        </is>
      </c>
      <c r="B327" s="1" t="inlineStr">
        <is>
          <t>SUDA ME</t>
        </is>
      </c>
      <c r="C327" s="1" t="inlineStr"/>
      <c r="D327" s="1" t="inlineStr"/>
      <c r="E327" s="1" t="n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9" t="inlineStr"/>
      <c r="Q327" s="9" t="inlineStr"/>
      <c r="R327" s="9" t="inlineStr"/>
      <c r="S327" s="9" t="inlineStr"/>
      <c r="T327" s="9" t="inlineStr"/>
      <c r="U327" s="9" t="inlineStr"/>
      <c r="V327" s="9" t="inlineStr"/>
      <c r="W327" s="9">
        <f>HYPERLINK("#Schedule!F160", "岡本 KA (41662)")</f>
        <v/>
      </c>
      <c r="X327" s="9">
        <f>HYPERLINK("#Schedule!F160", "岡本 KA (41662)")</f>
        <v/>
      </c>
      <c r="Y327" s="9" t="inlineStr"/>
      <c r="Z327" s="9" t="inlineStr"/>
      <c r="AA327" s="9" t="inlineStr"/>
      <c r="AB327" s="9" t="inlineStr"/>
      <c r="AC327" s="9" t="inlineStr"/>
      <c r="AD327" s="9" t="inlineStr"/>
      <c r="AE327" s="9" t="inlineStr"/>
      <c r="AF327" s="9" t="inlineStr"/>
      <c r="AG327" s="9" t="inlineStr"/>
      <c r="AH327" s="9" t="inlineStr"/>
      <c r="AI327" s="9" t="inlineStr"/>
      <c r="AJ327" s="9" t="inlineStr"/>
    </row>
    <row r="328">
      <c r="A328" s="1" t="inlineStr">
        <is>
          <t>41335-1</t>
        </is>
      </c>
      <c r="B328" s="1" t="inlineStr">
        <is>
          <t>MIYAKE WA</t>
        </is>
      </c>
      <c r="C328" s="1" t="inlineStr"/>
      <c r="D328" s="1" t="inlineStr"/>
      <c r="E328" s="1" t="n">
        <v>50</v>
      </c>
      <c r="F328" s="4" t="inlineStr">
        <is>
          <t>MIYAKEWA</t>
        </is>
      </c>
      <c r="G328" s="4" t="inlineStr">
        <is>
          <t>WA</t>
        </is>
      </c>
      <c r="H328" s="4" t="inlineStr">
        <is>
          <t>機種：</t>
        </is>
      </c>
      <c r="I328" s="4" t="inlineStr">
        <is>
          <t>787</t>
        </is>
      </c>
      <c r="J328" s="4" t="inlineStr">
        <is>
          <t>ランク：</t>
        </is>
      </c>
      <c r="K328" s="4" t="inlineStr">
        <is>
          <t>FO</t>
        </is>
      </c>
      <c r="L328" s="4" t="inlineStr">
        <is>
          <t>期：</t>
        </is>
      </c>
      <c r="M328" s="4" t="inlineStr">
        <is>
          <t>050</t>
        </is>
      </c>
      <c r="N328" s="4" t="inlineStr">
        <is>
          <t>職番：</t>
        </is>
      </c>
      <c r="O328" s="4" t="inlineStr">
        <is>
          <t>00041335</t>
        </is>
      </c>
      <c r="P328" s="4" t="inlineStr">
        <is>
          <t>所属：</t>
        </is>
      </c>
      <c r="Q328" s="4" t="inlineStr">
        <is>
          <t>NWZNW</t>
        </is>
      </c>
      <c r="R328" s="4" t="inlineStr">
        <is>
          <t>CAT資：</t>
        </is>
      </c>
      <c r="S328" s="4" t="inlineStr">
        <is>
          <t>CAT3</t>
        </is>
      </c>
      <c r="T328" s="4" t="inlineStr">
        <is>
          <t>T/O：</t>
        </is>
      </c>
      <c r="U328" s="4" t="inlineStr">
        <is>
          <t>3T251008</t>
        </is>
      </c>
      <c r="V328" s="4" t="inlineStr">
        <is>
          <t>L/D：</t>
        </is>
      </c>
      <c r="W328" s="4" t="inlineStr">
        <is>
          <t>3L251008</t>
        </is>
      </c>
      <c r="X328" s="4" t="inlineStr">
        <is>
          <t>PE：</t>
        </is>
      </c>
      <c r="Y328" s="5" t="inlineStr">
        <is>
          <t>PE260429</t>
        </is>
      </c>
      <c r="Z328" s="4" t="inlineStr">
        <is>
          <t>誕生月：</t>
        </is>
      </c>
      <c r="AA328" s="4" t="inlineStr">
        <is>
          <t>07</t>
        </is>
      </c>
      <c r="AB328" s="6" t="inlineStr">
        <is>
          <t>電話：</t>
        </is>
      </c>
      <c r="AC328" s="6" t="inlineStr">
        <is>
          <t>045-622-3810</t>
        </is>
      </c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</row>
    <row r="329">
      <c r="A329" s="1" t="inlineStr">
        <is>
          <t>41335-2</t>
        </is>
      </c>
      <c r="B329" s="1" t="inlineStr">
        <is>
          <t>MIYAKE WA</t>
        </is>
      </c>
      <c r="C329" s="1" t="inlineStr"/>
      <c r="D329" s="1" t="inlineStr"/>
      <c r="E329" s="1" t="n">
        <v>50</v>
      </c>
      <c r="F329" s="7" t="inlineStr">
        <is>
          <t>01</t>
        </is>
      </c>
      <c r="G329" s="7" t="inlineStr">
        <is>
          <t>02</t>
        </is>
      </c>
      <c r="H329" s="7" t="inlineStr">
        <is>
          <t>03</t>
        </is>
      </c>
      <c r="I329" s="7" t="inlineStr">
        <is>
          <t>04</t>
        </is>
      </c>
      <c r="J329" s="7" t="inlineStr">
        <is>
          <t>05</t>
        </is>
      </c>
      <c r="K329" s="7" t="inlineStr">
        <is>
          <t>06</t>
        </is>
      </c>
      <c r="L329" s="7" t="inlineStr">
        <is>
          <t>07</t>
        </is>
      </c>
      <c r="M329" s="7" t="inlineStr">
        <is>
          <t>08</t>
        </is>
      </c>
      <c r="N329" s="12" t="inlineStr">
        <is>
          <t>09</t>
        </is>
      </c>
      <c r="O329" s="7" t="inlineStr">
        <is>
          <t>10</t>
        </is>
      </c>
      <c r="P329" s="7" t="inlineStr">
        <is>
          <t>11</t>
        </is>
      </c>
      <c r="Q329" s="7" t="inlineStr">
        <is>
          <t>12</t>
        </is>
      </c>
      <c r="R329" s="7" t="inlineStr">
        <is>
          <t>13</t>
        </is>
      </c>
      <c r="S329" s="7" t="inlineStr">
        <is>
          <t>14</t>
        </is>
      </c>
      <c r="T329" s="7" t="inlineStr">
        <is>
          <t>15</t>
        </is>
      </c>
      <c r="U329" s="7" t="inlineStr">
        <is>
          <t>16</t>
        </is>
      </c>
      <c r="V329" s="7" t="inlineStr">
        <is>
          <t>17</t>
        </is>
      </c>
      <c r="W329" s="7" t="inlineStr">
        <is>
          <t>18</t>
        </is>
      </c>
      <c r="X329" s="7" t="inlineStr">
        <is>
          <t>19</t>
        </is>
      </c>
      <c r="Y329" s="7" t="inlineStr">
        <is>
          <t>20</t>
        </is>
      </c>
      <c r="Z329" s="7" t="inlineStr">
        <is>
          <t>21</t>
        </is>
      </c>
      <c r="AA329" s="7" t="inlineStr">
        <is>
          <t>22</t>
        </is>
      </c>
      <c r="AB329" s="7" t="inlineStr">
        <is>
          <t>23</t>
        </is>
      </c>
      <c r="AC329" s="7" t="inlineStr">
        <is>
          <t>24</t>
        </is>
      </c>
      <c r="AD329" s="7" t="inlineStr">
        <is>
          <t>25</t>
        </is>
      </c>
      <c r="AE329" s="7" t="inlineStr">
        <is>
          <t>26</t>
        </is>
      </c>
      <c r="AF329" s="7" t="inlineStr">
        <is>
          <t>27</t>
        </is>
      </c>
      <c r="AG329" s="7" t="inlineStr">
        <is>
          <t>28</t>
        </is>
      </c>
      <c r="AH329" s="7" t="inlineStr">
        <is>
          <t>29</t>
        </is>
      </c>
      <c r="AI329" s="7" t="inlineStr">
        <is>
          <t>30</t>
        </is>
      </c>
      <c r="AJ329" s="7" t="inlineStr">
        <is>
          <t>31</t>
        </is>
      </c>
    </row>
    <row r="330">
      <c r="A330" s="1" t="inlineStr">
        <is>
          <t>41335-3</t>
        </is>
      </c>
      <c r="B330" s="1" t="inlineStr">
        <is>
          <t>MIYAKE WA</t>
        </is>
      </c>
      <c r="C330" s="1" t="inlineStr"/>
      <c r="D330" s="1" t="inlineStr"/>
      <c r="E330" s="1" t="n">
        <v>50</v>
      </c>
      <c r="F330" s="9" t="inlineStr">
        <is>
          <t>---</t>
        </is>
      </c>
      <c r="G330" s="9" t="inlineStr">
        <is>
          <t>30</t>
        </is>
      </c>
      <c r="H330" s="9" t="inlineStr">
        <is>
          <t>*H</t>
        </is>
      </c>
      <c r="I330" s="9" t="inlineStr">
        <is>
          <t>*H</t>
        </is>
      </c>
      <c r="J330" s="9" t="inlineStr">
        <is>
          <t>221DH</t>
        </is>
      </c>
      <c r="K330" s="9" t="inlineStr">
        <is>
          <t>727</t>
        </is>
      </c>
      <c r="L330" s="9" t="inlineStr">
        <is>
          <t>708</t>
        </is>
      </c>
      <c r="M330" s="9" t="inlineStr">
        <is>
          <t>H</t>
        </is>
      </c>
      <c r="N330" s="9" t="inlineStr">
        <is>
          <t>M21
TRN
#1
07:00-11:00</t>
        </is>
      </c>
      <c r="O330" s="9" t="inlineStr">
        <is>
          <t>305
308
515</t>
        </is>
      </c>
      <c r="P330" s="9" t="inlineStr">
        <is>
          <t>514</t>
        </is>
      </c>
      <c r="Q330" s="9" t="inlineStr">
        <is>
          <t>H</t>
        </is>
      </c>
      <c r="R330" s="9" t="inlineStr">
        <is>
          <t>735
ALC TRN</t>
        </is>
      </c>
      <c r="S330" s="9" t="inlineStr">
        <is>
          <t>26
ALC TRN</t>
        </is>
      </c>
      <c r="T330" s="9" t="inlineStr">
        <is>
          <t>H</t>
        </is>
      </c>
      <c r="U330" s="9" t="inlineStr">
        <is>
          <t>H</t>
        </is>
      </c>
      <c r="V330" s="9" t="inlineStr">
        <is>
          <t>229DH</t>
        </is>
      </c>
      <c r="W330" s="9" t="inlineStr">
        <is>
          <t>792</t>
        </is>
      </c>
      <c r="X330" s="9" t="inlineStr">
        <is>
          <t>---</t>
        </is>
      </c>
      <c r="Y330" s="9" t="inlineStr">
        <is>
          <t>71</t>
        </is>
      </c>
      <c r="Z330" s="9" t="inlineStr">
        <is>
          <t>*H</t>
        </is>
      </c>
      <c r="AA330" s="9" t="inlineStr">
        <is>
          <t>*H</t>
        </is>
      </c>
      <c r="AB330" s="9" t="inlineStr">
        <is>
          <t>HH</t>
        </is>
      </c>
      <c r="AC330" s="9" t="inlineStr">
        <is>
          <t>81
ALC TRN
82
ALC TRN</t>
        </is>
      </c>
      <c r="AD330" s="9" t="inlineStr">
        <is>
          <t>H/VAC</t>
        </is>
      </c>
      <c r="AE330" s="9" t="inlineStr">
        <is>
          <t>VAC</t>
        </is>
      </c>
      <c r="AF330" s="9" t="inlineStr">
        <is>
          <t>33</t>
        </is>
      </c>
      <c r="AG330" s="9" t="inlineStr">
        <is>
          <t>---</t>
        </is>
      </c>
      <c r="AH330" s="9" t="inlineStr">
        <is>
          <t>32</t>
        </is>
      </c>
      <c r="AI330" s="9" t="inlineStr">
        <is>
          <t>HH</t>
        </is>
      </c>
      <c r="AJ330" s="9" t="inlineStr">
        <is>
          <t>58</t>
        </is>
      </c>
    </row>
    <row r="331">
      <c r="A331" s="1" t="inlineStr">
        <is>
          <t>41335-4</t>
        </is>
      </c>
      <c r="B331" s="1" t="inlineStr">
        <is>
          <t>MIYAKE WA</t>
        </is>
      </c>
      <c r="C331" s="1" t="inlineStr"/>
      <c r="D331" s="1" t="inlineStr"/>
      <c r="E331" s="1" t="n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>
        <f>HYPERLINK("#Schedule!F41", "I加藤 TK (36749)")</f>
        <v/>
      </c>
      <c r="O331" s="9" t="inlineStr"/>
      <c r="P331" s="9" t="inlineStr"/>
      <c r="Q331" s="9" t="inlineStr"/>
      <c r="R331" s="9">
        <f>HYPERLINK("#Schedule!F191", "金光 AK (67770)")</f>
        <v/>
      </c>
      <c r="S331" s="9">
        <f>HYPERLINK("#Schedule!F191", "金光 AK (67770)")</f>
        <v/>
      </c>
      <c r="T331" s="9" t="inlineStr"/>
      <c r="U331" s="9" t="inlineStr"/>
      <c r="V331" s="9" t="inlineStr"/>
      <c r="W331" s="9" t="inlineStr"/>
      <c r="X331" s="9" t="inlineStr"/>
      <c r="Y331" s="9" t="inlineStr"/>
      <c r="Z331" s="9" t="inlineStr"/>
      <c r="AA331" s="9" t="inlineStr"/>
      <c r="AB331" s="9" t="inlineStr"/>
      <c r="AC331" s="9">
        <f>HYPERLINK("#Schedule!F182", "髙瀨 MA (67264)")</f>
        <v/>
      </c>
      <c r="AD331" s="9" t="inlineStr"/>
      <c r="AE331" s="9" t="inlineStr"/>
      <c r="AF331" s="9" t="inlineStr"/>
      <c r="AG331" s="9" t="inlineStr"/>
      <c r="AH331" s="9" t="inlineStr"/>
      <c r="AI331" s="9" t="inlineStr"/>
      <c r="AJ331" s="9" t="inlineStr"/>
    </row>
    <row r="332">
      <c r="A332" s="1" t="inlineStr">
        <is>
          <t>41335-5</t>
        </is>
      </c>
      <c r="B332" s="1" t="inlineStr">
        <is>
          <t>MIYAKE WA</t>
        </is>
      </c>
      <c r="C332" s="1" t="inlineStr"/>
      <c r="D332" s="1" t="inlineStr"/>
      <c r="E332" s="1" t="n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>
        <f>HYPERLINK("#Schedule!F138", "I安藤 YU (37725)")</f>
        <v/>
      </c>
      <c r="O332" s="9" t="inlineStr"/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inlineStr"/>
      <c r="AE332" s="9" t="inlineStr"/>
      <c r="AF332" s="9" t="inlineStr"/>
      <c r="AG332" s="9" t="inlineStr"/>
      <c r="AH332" s="9" t="inlineStr"/>
      <c r="AI332" s="9" t="inlineStr"/>
      <c r="AJ332" s="9" t="inlineStr"/>
    </row>
    <row r="333">
      <c r="A333" s="1" t="inlineStr">
        <is>
          <t>41335-6</t>
        </is>
      </c>
      <c r="B333" s="1" t="inlineStr">
        <is>
          <t>MIYAKE WA</t>
        </is>
      </c>
      <c r="C333" s="1" t="inlineStr"/>
      <c r="D333" s="1" t="inlineStr"/>
      <c r="E333" s="1" t="n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>
        <f>HYPERLINK("#Schedule!F128", "T小島 MA (37757)")</f>
        <v/>
      </c>
      <c r="O333" s="9" t="inlineStr"/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9" t="inlineStr"/>
      <c r="Z333" s="9" t="inlineStr"/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9" t="inlineStr"/>
      <c r="AI333" s="9" t="inlineStr"/>
      <c r="AJ333" s="9" t="inlineStr"/>
    </row>
    <row r="334">
      <c r="A334" s="1" t="inlineStr">
        <is>
          <t>51864-1</t>
        </is>
      </c>
      <c r="B334" s="1" t="inlineStr">
        <is>
          <t>TOYODA JU</t>
        </is>
      </c>
      <c r="C334" s="1" t="inlineStr"/>
      <c r="D334" s="1" t="inlineStr"/>
      <c r="E334" s="1" t="n">
        <v>219</v>
      </c>
      <c r="F334" s="4" t="inlineStr">
        <is>
          <t>TOYODAJU</t>
        </is>
      </c>
      <c r="G334" s="4" t="inlineStr">
        <is>
          <t>JU</t>
        </is>
      </c>
      <c r="H334" s="4" t="inlineStr">
        <is>
          <t>機種：</t>
        </is>
      </c>
      <c r="I334" s="4" t="inlineStr">
        <is>
          <t>787</t>
        </is>
      </c>
      <c r="J334" s="4" t="inlineStr">
        <is>
          <t>ランク：</t>
        </is>
      </c>
      <c r="K334" s="4" t="inlineStr">
        <is>
          <t>FO</t>
        </is>
      </c>
      <c r="L334" s="4" t="inlineStr">
        <is>
          <t>期：</t>
        </is>
      </c>
      <c r="M334" s="4" t="inlineStr">
        <is>
          <t>219</t>
        </is>
      </c>
      <c r="N334" s="4" t="inlineStr">
        <is>
          <t>職番：</t>
        </is>
      </c>
      <c r="O334" s="4" t="inlineStr">
        <is>
          <t>00051864</t>
        </is>
      </c>
      <c r="P334" s="4" t="inlineStr">
        <is>
          <t>所属：</t>
        </is>
      </c>
      <c r="Q334" s="4" t="inlineStr">
        <is>
          <t>NWZNW</t>
        </is>
      </c>
      <c r="R334" s="4" t="inlineStr">
        <is>
          <t>CAT資：</t>
        </is>
      </c>
      <c r="S334" s="4" t="inlineStr">
        <is>
          <t>CAT3</t>
        </is>
      </c>
      <c r="T334" s="4" t="inlineStr">
        <is>
          <t>T/O：</t>
        </is>
      </c>
      <c r="U334" s="4" t="inlineStr">
        <is>
          <t>3T251008</t>
        </is>
      </c>
      <c r="V334" s="4" t="inlineStr">
        <is>
          <t>L/D：</t>
        </is>
      </c>
      <c r="W334" s="4" t="inlineStr">
        <is>
          <t>3L251009</t>
        </is>
      </c>
      <c r="X334" s="4" t="inlineStr">
        <is>
          <t>PE：</t>
        </is>
      </c>
      <c r="Y334" s="5" t="inlineStr">
        <is>
          <t>PE251030</t>
        </is>
      </c>
      <c r="Z334" s="4" t="inlineStr">
        <is>
          <t>誕生月：</t>
        </is>
      </c>
      <c r="AA334" s="4" t="inlineStr">
        <is>
          <t>04</t>
        </is>
      </c>
      <c r="AB334" s="6" t="inlineStr">
        <is>
          <t>電話：</t>
        </is>
      </c>
      <c r="AC334" s="6" t="inlineStr">
        <is>
          <t>090-6038-6046</t>
        </is>
      </c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</row>
    <row r="335">
      <c r="A335" s="1" t="inlineStr">
        <is>
          <t>51864-2</t>
        </is>
      </c>
      <c r="B335" s="1" t="inlineStr">
        <is>
          <t>TOYODA JU</t>
        </is>
      </c>
      <c r="C335" s="1" t="inlineStr"/>
      <c r="D335" s="1" t="inlineStr"/>
      <c r="E335" s="1" t="n">
        <v>219</v>
      </c>
      <c r="F335" s="7" t="inlineStr">
        <is>
          <t>01</t>
        </is>
      </c>
      <c r="G335" s="7" t="inlineStr">
        <is>
          <t>02</t>
        </is>
      </c>
      <c r="H335" s="7" t="inlineStr">
        <is>
          <t>03</t>
        </is>
      </c>
      <c r="I335" s="14" t="inlineStr">
        <is>
          <t>04</t>
        </is>
      </c>
      <c r="J335" s="15" t="inlineStr">
        <is>
          <t>05</t>
        </is>
      </c>
      <c r="K335" s="7" t="inlineStr">
        <is>
          <t>06</t>
        </is>
      </c>
      <c r="L335" s="12" t="inlineStr">
        <is>
          <t>07</t>
        </is>
      </c>
      <c r="M335" s="12" t="inlineStr">
        <is>
          <t>08</t>
        </is>
      </c>
      <c r="N335" s="7" t="inlineStr">
        <is>
          <t>09</t>
        </is>
      </c>
      <c r="O335" s="14" t="inlineStr">
        <is>
          <t>10</t>
        </is>
      </c>
      <c r="P335" s="15" t="inlineStr">
        <is>
          <t>11</t>
        </is>
      </c>
      <c r="Q335" s="7" t="inlineStr">
        <is>
          <t>12</t>
        </is>
      </c>
      <c r="R335" s="15" t="inlineStr">
        <is>
          <t>13</t>
        </is>
      </c>
      <c r="S335" s="7" t="inlineStr">
        <is>
          <t>14</t>
        </is>
      </c>
      <c r="T335" s="7" t="inlineStr">
        <is>
          <t>15</t>
        </is>
      </c>
      <c r="U335" s="15" t="inlineStr">
        <is>
          <t>16</t>
        </is>
      </c>
      <c r="V335" s="15" t="inlineStr">
        <is>
          <t>17</t>
        </is>
      </c>
      <c r="W335" s="7" t="inlineStr">
        <is>
          <t>18</t>
        </is>
      </c>
      <c r="X335" s="7" t="inlineStr">
        <is>
          <t>19</t>
        </is>
      </c>
      <c r="Y335" s="15" t="inlineStr">
        <is>
          <t>20</t>
        </is>
      </c>
      <c r="Z335" s="7" t="inlineStr">
        <is>
          <t>21</t>
        </is>
      </c>
      <c r="AA335" s="15" t="inlineStr">
        <is>
          <t>22</t>
        </is>
      </c>
      <c r="AB335" s="7" t="inlineStr">
        <is>
          <t>23</t>
        </is>
      </c>
      <c r="AC335" s="14" t="inlineStr">
        <is>
          <t>24</t>
        </is>
      </c>
      <c r="AD335" s="8" t="inlineStr">
        <is>
          <t>25</t>
        </is>
      </c>
      <c r="AE335" s="7" t="inlineStr">
        <is>
          <t>26</t>
        </is>
      </c>
      <c r="AF335" s="8" t="inlineStr">
        <is>
          <t>27</t>
        </is>
      </c>
      <c r="AG335" s="7" t="inlineStr">
        <is>
          <t>28</t>
        </is>
      </c>
      <c r="AH335" s="7" t="inlineStr">
        <is>
          <t>29</t>
        </is>
      </c>
      <c r="AI335" s="8" t="inlineStr">
        <is>
          <t>30</t>
        </is>
      </c>
      <c r="AJ335" s="7" t="inlineStr">
        <is>
          <t>31</t>
        </is>
      </c>
    </row>
    <row r="336">
      <c r="A336" s="1" t="inlineStr">
        <is>
          <t>51864-3</t>
        </is>
      </c>
      <c r="B336" s="1" t="inlineStr">
        <is>
          <t>TOYODA JU</t>
        </is>
      </c>
      <c r="C336" s="1" t="inlineStr"/>
      <c r="D336" s="1" t="inlineStr"/>
      <c r="E336" s="1" t="n">
        <v>219</v>
      </c>
      <c r="F336" s="9" t="inlineStr">
        <is>
          <t>H</t>
        </is>
      </c>
      <c r="G336" s="9" t="inlineStr">
        <is>
          <t>H</t>
        </is>
      </c>
      <c r="H336" s="9" t="inlineStr">
        <is>
          <t>91
92</t>
        </is>
      </c>
      <c r="I336" s="9" t="inlineStr">
        <is>
          <t>PH3
TRN</t>
        </is>
      </c>
      <c r="J336" s="9" t="inlineStr">
        <is>
          <t>97
LEF TRN
98
LEF TRN</t>
        </is>
      </c>
      <c r="K336" s="9" t="inlineStr">
        <is>
          <t>H</t>
        </is>
      </c>
      <c r="L336" s="9" t="inlineStr">
        <is>
          <t>M11
TRN
#2
20:00-21:00</t>
        </is>
      </c>
      <c r="M336" s="9" t="inlineStr">
        <is>
          <t>M12
TRN
#2
19:00-23:00</t>
        </is>
      </c>
      <c r="N336" s="9" t="inlineStr">
        <is>
          <t>H</t>
        </is>
      </c>
      <c r="O336" s="9" t="inlineStr">
        <is>
          <t>PH3
TRN
#2
21:00-23:00</t>
        </is>
      </c>
      <c r="P336" s="9" t="inlineStr">
        <is>
          <t>759
LEF TRN</t>
        </is>
      </c>
      <c r="Q336" s="9" t="inlineStr">
        <is>
          <t>---</t>
        </is>
      </c>
      <c r="R336" s="9" t="inlineStr">
        <is>
          <t>70
LEF TRN</t>
        </is>
      </c>
      <c r="S336" s="9" t="inlineStr">
        <is>
          <t>H</t>
        </is>
      </c>
      <c r="T336" s="9" t="inlineStr">
        <is>
          <t>H</t>
        </is>
      </c>
      <c r="U336" s="9" t="inlineStr">
        <is>
          <t>101
LEF TRN
106
LEF TRN
113
LEF TRN</t>
        </is>
      </c>
      <c r="V336" s="9" t="inlineStr">
        <is>
          <t>104
LEF TRN</t>
        </is>
      </c>
      <c r="W336" s="9" t="inlineStr">
        <is>
          <t>HH</t>
        </is>
      </c>
      <c r="X336" s="9" t="inlineStr">
        <is>
          <t>HH</t>
        </is>
      </c>
      <c r="Y336" s="9" t="inlineStr">
        <is>
          <t>707
LEF TRN</t>
        </is>
      </c>
      <c r="Z336" s="9" t="inlineStr">
        <is>
          <t>---</t>
        </is>
      </c>
      <c r="AA336" s="9" t="inlineStr">
        <is>
          <t>728
LEF TRN
224DH</t>
        </is>
      </c>
      <c r="AB336" s="9" t="inlineStr">
        <is>
          <t>H</t>
        </is>
      </c>
      <c r="AC336" s="9" t="inlineStr">
        <is>
          <t>PH3
TRN
#2
17:00-21:00</t>
        </is>
      </c>
      <c r="AD336" s="9" t="inlineStr">
        <is>
          <t>759
VLDE TRN</t>
        </is>
      </c>
      <c r="AE336" s="9" t="inlineStr">
        <is>
          <t>---</t>
        </is>
      </c>
      <c r="AF336" s="9" t="inlineStr">
        <is>
          <t>70
VLDE TRN</t>
        </is>
      </c>
      <c r="AG336" s="9" t="inlineStr">
        <is>
          <t>H</t>
        </is>
      </c>
      <c r="AH336" s="9" t="inlineStr">
        <is>
          <t>H</t>
        </is>
      </c>
      <c r="AI336" s="9" t="inlineStr">
        <is>
          <t>72
VLDE TRN</t>
        </is>
      </c>
      <c r="AJ336" s="9" t="inlineStr">
        <is>
          <t>---</t>
        </is>
      </c>
    </row>
    <row r="337">
      <c r="A337" s="1" t="inlineStr">
        <is>
          <t>51864-4</t>
        </is>
      </c>
      <c r="B337" s="1" t="inlineStr">
        <is>
          <t>TOYODA JU</t>
        </is>
      </c>
      <c r="C337" s="1" t="inlineStr"/>
      <c r="D337" s="1" t="inlineStr"/>
      <c r="E337" s="1" t="n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>
        <f>HYPERLINK("#Schedule!F49", "I織田  (39358)")</f>
        <v/>
      </c>
      <c r="N337" s="9" t="inlineStr"/>
      <c r="O337" s="9" t="inlineStr">
        <is>
          <t>I佐藤 NO</t>
        </is>
      </c>
      <c r="P337" s="9" t="inlineStr"/>
      <c r="Q337" s="9" t="inlineStr"/>
      <c r="R337" s="9" t="inlineStr"/>
      <c r="S337" s="9" t="inlineStr"/>
      <c r="T337" s="9" t="inlineStr"/>
      <c r="U337" s="9" t="inlineStr"/>
      <c r="V337" s="9" t="inlineStr"/>
      <c r="W337" s="9" t="inlineStr"/>
      <c r="X337" s="9" t="inlineStr"/>
      <c r="Y337" s="9" t="inlineStr"/>
      <c r="Z337" s="9" t="inlineStr"/>
      <c r="AA337" s="9" t="inlineStr"/>
      <c r="AB337" s="9" t="inlineStr"/>
      <c r="AC337" s="9">
        <f>HYPERLINK("#Schedule!F6", "I中村 YC (41665)")</f>
        <v/>
      </c>
      <c r="AD337" s="9">
        <f>HYPERLINK("#Schedule!F147", "吉村MA (39670)")</f>
        <v/>
      </c>
      <c r="AE337" s="9" t="inlineStr"/>
      <c r="AF337" s="9">
        <f>HYPERLINK("#Schedule!F147", "吉村MA (39670)")</f>
        <v/>
      </c>
      <c r="AG337" s="9" t="inlineStr"/>
      <c r="AH337" s="9" t="inlineStr"/>
      <c r="AI337" s="9">
        <f>HYPERLINK("#Schedule!F86", "金澤 RY (38560)")</f>
        <v/>
      </c>
      <c r="AJ337" s="9" t="inlineStr"/>
    </row>
    <row r="338">
      <c r="A338" s="1" t="inlineStr">
        <is>
          <t>53880-1</t>
        </is>
      </c>
      <c r="B338" s="1" t="inlineStr">
        <is>
          <t>SAITO YT</t>
        </is>
      </c>
      <c r="C338" s="1" t="inlineStr"/>
      <c r="D338" s="1" t="inlineStr"/>
      <c r="E338" s="1" t="n">
        <v>195</v>
      </c>
      <c r="F338" s="4" t="inlineStr">
        <is>
          <t>SAITOYT</t>
        </is>
      </c>
      <c r="G338" s="4" t="inlineStr">
        <is>
          <t>YT</t>
        </is>
      </c>
      <c r="H338" s="4" t="inlineStr">
        <is>
          <t>機種：</t>
        </is>
      </c>
      <c r="I338" s="4" t="inlineStr">
        <is>
          <t>787</t>
        </is>
      </c>
      <c r="J338" s="4" t="inlineStr">
        <is>
          <t>ランク：</t>
        </is>
      </c>
      <c r="K338" s="4" t="inlineStr">
        <is>
          <t>FO</t>
        </is>
      </c>
      <c r="L338" s="4" t="inlineStr">
        <is>
          <t>期：</t>
        </is>
      </c>
      <c r="M338" s="4" t="inlineStr">
        <is>
          <t>195</t>
        </is>
      </c>
      <c r="N338" s="4" t="inlineStr">
        <is>
          <t>職番：</t>
        </is>
      </c>
      <c r="O338" s="4" t="inlineStr">
        <is>
          <t>00053880</t>
        </is>
      </c>
      <c r="P338" s="4" t="inlineStr">
        <is>
          <t>所属：</t>
        </is>
      </c>
      <c r="Q338" s="4" t="inlineStr">
        <is>
          <t>NWZNW</t>
        </is>
      </c>
      <c r="R338" s="4" t="inlineStr">
        <is>
          <t>CAT資：</t>
        </is>
      </c>
      <c r="S338" s="4" t="inlineStr">
        <is>
          <t>CAT3</t>
        </is>
      </c>
      <c r="T338" s="4" t="inlineStr">
        <is>
          <t>T/O：</t>
        </is>
      </c>
      <c r="U338" s="4" t="inlineStr">
        <is>
          <t>3T251006</t>
        </is>
      </c>
      <c r="V338" s="4" t="inlineStr">
        <is>
          <t>L/D：</t>
        </is>
      </c>
      <c r="W338" s="4" t="inlineStr">
        <is>
          <t>3L251006</t>
        </is>
      </c>
      <c r="X338" s="4" t="inlineStr">
        <is>
          <t>PE：</t>
        </is>
      </c>
      <c r="Y338" s="5" t="inlineStr">
        <is>
          <t>PE260318</t>
        </is>
      </c>
      <c r="Z338" s="4" t="inlineStr">
        <is>
          <t>誕生月：</t>
        </is>
      </c>
      <c r="AA338" s="4" t="inlineStr">
        <is>
          <t>02</t>
        </is>
      </c>
      <c r="AB338" s="6" t="inlineStr">
        <is>
          <t>電話：</t>
        </is>
      </c>
      <c r="AC338" s="6" t="inlineStr">
        <is>
          <t>090-8372-4464</t>
        </is>
      </c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</row>
    <row r="339">
      <c r="A339" s="1" t="inlineStr">
        <is>
          <t>53880-2</t>
        </is>
      </c>
      <c r="B339" s="1" t="inlineStr">
        <is>
          <t>SAITO YT</t>
        </is>
      </c>
      <c r="C339" s="1" t="inlineStr"/>
      <c r="D339" s="1" t="inlineStr"/>
      <c r="E339" s="1" t="n">
        <v>195</v>
      </c>
      <c r="F339" s="7" t="inlineStr">
        <is>
          <t>01</t>
        </is>
      </c>
      <c r="G339" s="14" t="inlineStr">
        <is>
          <t>02</t>
        </is>
      </c>
      <c r="H339" s="7" t="inlineStr">
        <is>
          <t>03</t>
        </is>
      </c>
      <c r="I339" s="7" t="inlineStr">
        <is>
          <t>04</t>
        </is>
      </c>
      <c r="J339" s="7" t="inlineStr">
        <is>
          <t>05</t>
        </is>
      </c>
      <c r="K339" s="7" t="inlineStr">
        <is>
          <t>06</t>
        </is>
      </c>
      <c r="L339" s="7" t="inlineStr">
        <is>
          <t>07</t>
        </is>
      </c>
      <c r="M339" s="7" t="inlineStr">
        <is>
          <t>08</t>
        </is>
      </c>
      <c r="N339" s="7" t="inlineStr">
        <is>
          <t>09</t>
        </is>
      </c>
      <c r="O339" s="7" t="inlineStr">
        <is>
          <t>10</t>
        </is>
      </c>
      <c r="P339" s="7" t="inlineStr">
        <is>
          <t>11</t>
        </is>
      </c>
      <c r="Q339" s="8" t="inlineStr">
        <is>
          <t>12</t>
        </is>
      </c>
      <c r="R339" s="7" t="inlineStr">
        <is>
          <t>13</t>
        </is>
      </c>
      <c r="S339" s="7" t="inlineStr">
        <is>
          <t>14</t>
        </is>
      </c>
      <c r="T339" s="8" t="inlineStr">
        <is>
          <t>15</t>
        </is>
      </c>
      <c r="U339" s="7" t="inlineStr">
        <is>
          <t>16</t>
        </is>
      </c>
      <c r="V339" s="8" t="inlineStr">
        <is>
          <t>17</t>
        </is>
      </c>
      <c r="W339" s="7" t="inlineStr">
        <is>
          <t>18</t>
        </is>
      </c>
      <c r="X339" s="8" t="inlineStr">
        <is>
          <t>19</t>
        </is>
      </c>
      <c r="Y339" s="7" t="inlineStr">
        <is>
          <t>20</t>
        </is>
      </c>
      <c r="Z339" s="7" t="inlineStr">
        <is>
          <t>21</t>
        </is>
      </c>
      <c r="AA339" s="8" t="inlineStr">
        <is>
          <t>22</t>
        </is>
      </c>
      <c r="AB339" s="8" t="inlineStr">
        <is>
          <t>23</t>
        </is>
      </c>
      <c r="AC339" s="7" t="inlineStr">
        <is>
          <t>24</t>
        </is>
      </c>
      <c r="AD339" s="8" t="inlineStr">
        <is>
          <t>25</t>
        </is>
      </c>
      <c r="AE339" s="7" t="inlineStr">
        <is>
          <t>26</t>
        </is>
      </c>
      <c r="AF339" s="8" t="inlineStr">
        <is>
          <t>27</t>
        </is>
      </c>
      <c r="AG339" s="7" t="inlineStr">
        <is>
          <t>28</t>
        </is>
      </c>
      <c r="AH339" s="7" t="inlineStr">
        <is>
          <t>29</t>
        </is>
      </c>
      <c r="AI339" s="7" t="inlineStr">
        <is>
          <t>30</t>
        </is>
      </c>
      <c r="AJ339" s="7" t="inlineStr">
        <is>
          <t>31</t>
        </is>
      </c>
    </row>
    <row r="340">
      <c r="A340" s="1" t="inlineStr">
        <is>
          <t>53880-3</t>
        </is>
      </c>
      <c r="B340" s="1" t="inlineStr">
        <is>
          <t>SAITO YT</t>
        </is>
      </c>
      <c r="C340" s="1" t="inlineStr"/>
      <c r="D340" s="1" t="inlineStr"/>
      <c r="E340" s="1" t="n">
        <v>195</v>
      </c>
      <c r="F340" s="9" t="inlineStr">
        <is>
          <t>H</t>
        </is>
      </c>
      <c r="G340" s="9" t="inlineStr">
        <is>
          <t>PH3
TRN</t>
        </is>
      </c>
      <c r="H340" s="9" t="inlineStr">
        <is>
          <t>97
98</t>
        </is>
      </c>
      <c r="I340" s="9" t="inlineStr">
        <is>
          <t>HH</t>
        </is>
      </c>
      <c r="J340" s="9" t="inlineStr">
        <is>
          <t>33</t>
        </is>
      </c>
      <c r="K340" s="9" t="inlineStr">
        <is>
          <t>---</t>
        </is>
      </c>
      <c r="L340" s="9" t="inlineStr">
        <is>
          <t>32</t>
        </is>
      </c>
      <c r="M340" s="9" t="inlineStr">
        <is>
          <t>H</t>
        </is>
      </c>
      <c r="N340" s="9" t="inlineStr">
        <is>
          <t>CMD
TRN
#2
09:00-13:00</t>
        </is>
      </c>
      <c r="O340" s="9" t="inlineStr">
        <is>
          <t>H</t>
        </is>
      </c>
      <c r="P340" s="9" t="inlineStr">
        <is>
          <t>HH</t>
        </is>
      </c>
      <c r="Q340" s="9" t="inlineStr">
        <is>
          <t>729
CMD TRN</t>
        </is>
      </c>
      <c r="R340" s="9" t="inlineStr">
        <is>
          <t>---</t>
        </is>
      </c>
      <c r="S340" s="9" t="inlineStr">
        <is>
          <t>---</t>
        </is>
      </c>
      <c r="T340" s="9" t="inlineStr">
        <is>
          <t>720
CMD TRN</t>
        </is>
      </c>
      <c r="U340" s="9" t="inlineStr">
        <is>
          <t>H</t>
        </is>
      </c>
      <c r="V340" s="9" t="inlineStr">
        <is>
          <t>8786
CMD TRN</t>
        </is>
      </c>
      <c r="W340" s="9" t="inlineStr">
        <is>
          <t>---</t>
        </is>
      </c>
      <c r="X340" s="9" t="inlineStr">
        <is>
          <t>8785
CMD TRN</t>
        </is>
      </c>
      <c r="Y340" s="9" t="inlineStr">
        <is>
          <t>H</t>
        </is>
      </c>
      <c r="Z340" s="9" t="inlineStr">
        <is>
          <t>H</t>
        </is>
      </c>
      <c r="AA340" s="9" t="inlineStr">
        <is>
          <t>505
CMD TRN
506
CMD TRN
517
CMD TRN</t>
        </is>
      </c>
      <c r="AB340" s="9" t="inlineStr">
        <is>
          <t>516
CMD TRN
527
CMD TRN
528
CMD TRN</t>
        </is>
      </c>
      <c r="AC340" s="9" t="inlineStr">
        <is>
          <t>H</t>
        </is>
      </c>
      <c r="AD340" s="9" t="inlineStr">
        <is>
          <t>93
CMD TRN
94
CMD TRN</t>
        </is>
      </c>
      <c r="AE340" s="9" t="inlineStr">
        <is>
          <t>H</t>
        </is>
      </c>
      <c r="AF340" s="9" t="inlineStr">
        <is>
          <t>133
CMD TRN
138
CMD TRN</t>
        </is>
      </c>
      <c r="AG340" s="9" t="inlineStr">
        <is>
          <t>93
94</t>
        </is>
      </c>
      <c r="AH340" s="9" t="inlineStr">
        <is>
          <t>VAC</t>
        </is>
      </c>
      <c r="AI340" s="9" t="inlineStr">
        <is>
          <t>VAC</t>
        </is>
      </c>
      <c r="AJ340" s="9" t="inlineStr">
        <is>
          <t>VAC</t>
        </is>
      </c>
    </row>
    <row r="341">
      <c r="A341" s="1" t="inlineStr">
        <is>
          <t>53880-4</t>
        </is>
      </c>
      <c r="B341" s="1" t="inlineStr">
        <is>
          <t>SAITO YT</t>
        </is>
      </c>
      <c r="C341" s="1" t="inlineStr"/>
      <c r="D341" s="1" t="inlineStr"/>
      <c r="E341" s="1" t="n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>
        <f>HYPERLINK("#Schedule!F133", "I岡 HD (36149)")</f>
        <v/>
      </c>
      <c r="O341" s="9" t="inlineStr"/>
      <c r="P341" s="9" t="inlineStr"/>
      <c r="Q341" s="9">
        <f>HYPERLINK("#Schedule!F119", "川瀨 HI (67211)")</f>
        <v/>
      </c>
      <c r="R341" s="9" t="inlineStr"/>
      <c r="S341" s="9" t="inlineStr"/>
      <c r="T341" s="9">
        <f>HYPERLINK("#Schedule!F119", "川瀨 HI (67211)")</f>
        <v/>
      </c>
      <c r="U341" s="9" t="inlineStr"/>
      <c r="V341" s="9">
        <f>HYPERLINK("#Schedule!F98", "田中 HR (41476)")</f>
        <v/>
      </c>
      <c r="W341" s="9" t="inlineStr"/>
      <c r="X341" s="9">
        <f>HYPERLINK("#Schedule!F98", "田中 HR (41476)")</f>
        <v/>
      </c>
      <c r="Y341" s="9" t="inlineStr"/>
      <c r="Z341" s="9" t="inlineStr"/>
      <c r="AA341" s="9">
        <f>HYPERLINK("#Schedule!F169", "今井 HI (49241)")</f>
        <v/>
      </c>
      <c r="AB341" s="9">
        <f>HYPERLINK("#Schedule!F169", "今井 HI (49241)")</f>
        <v/>
      </c>
      <c r="AC341" s="9" t="inlineStr"/>
      <c r="AD341" s="9">
        <f>HYPERLINK("#Schedule!F260", "麻生 KA (41365)")</f>
        <v/>
      </c>
      <c r="AE341" s="9" t="inlineStr"/>
      <c r="AF341" s="9">
        <f>HYPERLINK("#Schedule!F24", "青木 TO (67665)")</f>
        <v/>
      </c>
      <c r="AG341" s="9" t="inlineStr"/>
      <c r="AH341" s="9" t="inlineStr"/>
      <c r="AI341" s="9" t="inlineStr"/>
      <c r="AJ341" s="9" t="inlineStr"/>
    </row>
    <row r="342">
      <c r="A342" s="1" t="inlineStr">
        <is>
          <t>53820-1</t>
        </is>
      </c>
      <c r="B342" s="1" t="inlineStr">
        <is>
          <t>IWASAKI KA</t>
        </is>
      </c>
      <c r="C342" s="1" t="inlineStr"/>
      <c r="D342" s="1" t="inlineStr"/>
      <c r="E342" s="1" t="n">
        <v>209</v>
      </c>
      <c r="F342" s="4" t="inlineStr">
        <is>
          <t>IWASAKIKA</t>
        </is>
      </c>
      <c r="G342" s="4" t="inlineStr">
        <is>
          <t>KA</t>
        </is>
      </c>
      <c r="H342" s="4" t="inlineStr">
        <is>
          <t>機種：</t>
        </is>
      </c>
      <c r="I342" s="4" t="inlineStr">
        <is>
          <t>787</t>
        </is>
      </c>
      <c r="J342" s="4" t="inlineStr">
        <is>
          <t>ランク：</t>
        </is>
      </c>
      <c r="K342" s="4" t="inlineStr">
        <is>
          <t>FO</t>
        </is>
      </c>
      <c r="L342" s="4" t="inlineStr">
        <is>
          <t>期：</t>
        </is>
      </c>
      <c r="M342" s="4" t="inlineStr">
        <is>
          <t>209</t>
        </is>
      </c>
      <c r="N342" s="4" t="inlineStr">
        <is>
          <t>職番：</t>
        </is>
      </c>
      <c r="O342" s="4" t="inlineStr">
        <is>
          <t>00053820</t>
        </is>
      </c>
      <c r="P342" s="4" t="inlineStr">
        <is>
          <t>所属：</t>
        </is>
      </c>
      <c r="Q342" s="4" t="inlineStr">
        <is>
          <t>NWZNW</t>
        </is>
      </c>
      <c r="R342" s="4" t="inlineStr">
        <is>
          <t>CAT資：</t>
        </is>
      </c>
      <c r="S342" s="4" t="inlineStr">
        <is>
          <t>CAT3</t>
        </is>
      </c>
      <c r="T342" s="4" t="inlineStr">
        <is>
          <t>T/O：</t>
        </is>
      </c>
      <c r="U342" s="4" t="inlineStr">
        <is>
          <t>3T251007</t>
        </is>
      </c>
      <c r="V342" s="4" t="inlineStr">
        <is>
          <t>L/D：</t>
        </is>
      </c>
      <c r="W342" s="4" t="inlineStr">
        <is>
          <t>3L251007</t>
        </is>
      </c>
      <c r="X342" s="4" t="inlineStr">
        <is>
          <t>PE：</t>
        </is>
      </c>
      <c r="Y342" s="5" t="inlineStr">
        <is>
          <t>PE260805</t>
        </is>
      </c>
      <c r="Z342" s="4" t="inlineStr">
        <is>
          <t>誕生月：</t>
        </is>
      </c>
      <c r="AA342" s="4" t="inlineStr">
        <is>
          <t>02</t>
        </is>
      </c>
      <c r="AB342" s="6" t="inlineStr">
        <is>
          <t>電話：</t>
        </is>
      </c>
      <c r="AC342" s="6" t="inlineStr">
        <is>
          <t>090-1212-6358</t>
        </is>
      </c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</row>
    <row r="343">
      <c r="A343" s="1" t="inlineStr">
        <is>
          <t>53820-2</t>
        </is>
      </c>
      <c r="B343" s="1" t="inlineStr">
        <is>
          <t>IWASAKI KA</t>
        </is>
      </c>
      <c r="C343" s="1" t="inlineStr"/>
      <c r="D343" s="1" t="inlineStr"/>
      <c r="E343" s="1" t="n">
        <v>209</v>
      </c>
      <c r="F343" s="8" t="inlineStr">
        <is>
          <t>01</t>
        </is>
      </c>
      <c r="G343" s="7" t="inlineStr">
        <is>
          <t>02</t>
        </is>
      </c>
      <c r="H343" s="8" t="inlineStr">
        <is>
          <t>03</t>
        </is>
      </c>
      <c r="I343" s="7" t="inlineStr">
        <is>
          <t>04</t>
        </is>
      </c>
      <c r="J343" s="7" t="inlineStr">
        <is>
          <t>05</t>
        </is>
      </c>
      <c r="K343" s="7" t="inlineStr">
        <is>
          <t>06</t>
        </is>
      </c>
      <c r="L343" s="7" t="inlineStr">
        <is>
          <t>07</t>
        </is>
      </c>
      <c r="M343" s="8" t="inlineStr">
        <is>
          <t>08</t>
        </is>
      </c>
      <c r="N343" s="7" t="inlineStr">
        <is>
          <t>09</t>
        </is>
      </c>
      <c r="O343" s="8" t="inlineStr">
        <is>
          <t>10</t>
        </is>
      </c>
      <c r="P343" s="7" t="inlineStr">
        <is>
          <t>11</t>
        </is>
      </c>
      <c r="Q343" s="7" t="inlineStr">
        <is>
          <t>12</t>
        </is>
      </c>
      <c r="R343" s="8" t="inlineStr">
        <is>
          <t>13</t>
        </is>
      </c>
      <c r="S343" s="8" t="inlineStr">
        <is>
          <t>14</t>
        </is>
      </c>
      <c r="T343" s="7" t="inlineStr">
        <is>
          <t>15</t>
        </is>
      </c>
      <c r="U343" s="7" t="inlineStr">
        <is>
          <t>16</t>
        </is>
      </c>
      <c r="V343" s="8" t="inlineStr">
        <is>
          <t>17</t>
        </is>
      </c>
      <c r="W343" s="7" t="inlineStr">
        <is>
          <t>18</t>
        </is>
      </c>
      <c r="X343" s="8" t="inlineStr">
        <is>
          <t>19</t>
        </is>
      </c>
      <c r="Y343" s="7" t="inlineStr">
        <is>
          <t>20</t>
        </is>
      </c>
      <c r="Z343" s="8" t="inlineStr">
        <is>
          <t>21</t>
        </is>
      </c>
      <c r="AA343" s="7" t="inlineStr">
        <is>
          <t>22</t>
        </is>
      </c>
      <c r="AB343" s="7" t="inlineStr">
        <is>
          <t>23</t>
        </is>
      </c>
      <c r="AC343" s="8" t="inlineStr">
        <is>
          <t>24</t>
        </is>
      </c>
      <c r="AD343" s="8" t="inlineStr">
        <is>
          <t>25</t>
        </is>
      </c>
      <c r="AE343" s="7" t="inlineStr">
        <is>
          <t>26</t>
        </is>
      </c>
      <c r="AF343" s="7" t="inlineStr">
        <is>
          <t>27</t>
        </is>
      </c>
      <c r="AG343" s="7" t="inlineStr">
        <is>
          <t>28</t>
        </is>
      </c>
      <c r="AH343" s="7" t="inlineStr">
        <is>
          <t>29</t>
        </is>
      </c>
      <c r="AI343" s="7" t="inlineStr">
        <is>
          <t>30</t>
        </is>
      </c>
      <c r="AJ343" s="7" t="inlineStr">
        <is>
          <t>31</t>
        </is>
      </c>
    </row>
    <row r="344">
      <c r="A344" s="1" t="inlineStr">
        <is>
          <t>53820-3</t>
        </is>
      </c>
      <c r="B344" s="1" t="inlineStr">
        <is>
          <t>IWASAKI KA</t>
        </is>
      </c>
      <c r="C344" s="1" t="inlineStr"/>
      <c r="D344" s="1" t="inlineStr"/>
      <c r="E344" s="1" t="n">
        <v>209</v>
      </c>
      <c r="F344" s="9" t="inlineStr">
        <is>
          <t>759
CMD TRN</t>
        </is>
      </c>
      <c r="G344" s="9" t="inlineStr">
        <is>
          <t>---</t>
        </is>
      </c>
      <c r="H344" s="9" t="inlineStr">
        <is>
          <t>70
CMD TRN</t>
        </is>
      </c>
      <c r="I344" s="9" t="inlineStr">
        <is>
          <t>H</t>
        </is>
      </c>
      <c r="J344" s="9" t="inlineStr">
        <is>
          <t>CMD
TRN
#1
19:00-23:00</t>
        </is>
      </c>
      <c r="K344" s="9" t="inlineStr">
        <is>
          <t>H</t>
        </is>
      </c>
      <c r="L344" s="9" t="inlineStr">
        <is>
          <t>VAC</t>
        </is>
      </c>
      <c r="M344" s="9" t="inlineStr">
        <is>
          <t>74
CMD TRN</t>
        </is>
      </c>
      <c r="N344" s="9" t="inlineStr">
        <is>
          <t>---</t>
        </is>
      </c>
      <c r="O344" s="9" t="inlineStr">
        <is>
          <t>73
CMD TRN</t>
        </is>
      </c>
      <c r="P344" s="9" t="inlineStr">
        <is>
          <t>*H</t>
        </is>
      </c>
      <c r="Q344" s="9" t="inlineStr">
        <is>
          <t>HH</t>
        </is>
      </c>
      <c r="R344" s="9" t="inlineStr">
        <is>
          <t>87
CMD TRN</t>
        </is>
      </c>
      <c r="S344" s="9" t="inlineStr">
        <is>
          <t>88
CMD TRN</t>
        </is>
      </c>
      <c r="T344" s="9" t="inlineStr">
        <is>
          <t>GMT0</t>
        </is>
      </c>
      <c r="U344" s="9" t="inlineStr">
        <is>
          <t>H</t>
        </is>
      </c>
      <c r="V344" s="9" t="inlineStr">
        <is>
          <t>97
CMD TRN
98
CMD TRN</t>
        </is>
      </c>
      <c r="W344" s="9" t="inlineStr">
        <is>
          <t>H</t>
        </is>
      </c>
      <c r="X344" s="9" t="inlineStr">
        <is>
          <t>33
CMD TRN</t>
        </is>
      </c>
      <c r="Y344" s="9" t="inlineStr">
        <is>
          <t>---</t>
        </is>
      </c>
      <c r="Z344" s="9" t="inlineStr">
        <is>
          <t>32
CMD TRN</t>
        </is>
      </c>
      <c r="AA344" s="9" t="inlineStr">
        <is>
          <t>H</t>
        </is>
      </c>
      <c r="AB344" s="9" t="inlineStr">
        <is>
          <t>H/VAC</t>
        </is>
      </c>
      <c r="AC344" s="9" t="inlineStr">
        <is>
          <t>305
CMD TRN
308
CMD TRN
515
CMD TRN</t>
        </is>
      </c>
      <c r="AD344" s="9" t="inlineStr">
        <is>
          <t>514
CMD TRN</t>
        </is>
      </c>
      <c r="AE344" s="9" t="inlineStr">
        <is>
          <t>H</t>
        </is>
      </c>
      <c r="AF344" s="9" t="inlineStr">
        <is>
          <t>HH</t>
        </is>
      </c>
      <c r="AG344" s="9" t="inlineStr">
        <is>
          <t>3087DH</t>
        </is>
      </c>
      <c r="AH344" s="9" t="inlineStr">
        <is>
          <t>794</t>
        </is>
      </c>
      <c r="AI344" s="9" t="inlineStr">
        <is>
          <t>---</t>
        </is>
      </c>
      <c r="AJ344" s="9" t="inlineStr">
        <is>
          <t>8785</t>
        </is>
      </c>
    </row>
    <row r="345">
      <c r="A345" s="1" t="inlineStr">
        <is>
          <t>53820-4</t>
        </is>
      </c>
      <c r="B345" s="1" t="inlineStr">
        <is>
          <t>IWASAKI KA</t>
        </is>
      </c>
      <c r="C345" s="1" t="inlineStr"/>
      <c r="D345" s="1" t="inlineStr"/>
      <c r="E345" s="1" t="n"/>
      <c r="F345" s="9">
        <f>HYPERLINK("#Schedule!F98", "田中 HR (41476)")</f>
        <v/>
      </c>
      <c r="G345" s="9" t="inlineStr"/>
      <c r="H345" s="9">
        <f>HYPERLINK("#Schedule!F98", "田中 HR (41476)")</f>
        <v/>
      </c>
      <c r="I345" s="9" t="inlineStr"/>
      <c r="J345" s="9">
        <f>HYPERLINK("#Schedule!F234", "I富川 MA (67428)")</f>
        <v/>
      </c>
      <c r="K345" s="9" t="inlineStr"/>
      <c r="L345" s="9" t="inlineStr"/>
      <c r="M345" s="9">
        <f>HYPERLINK("#Schedule!F195", "髙田 JO (38531)")</f>
        <v/>
      </c>
      <c r="N345" s="9" t="inlineStr"/>
      <c r="O345" s="9">
        <f>HYPERLINK("#Schedule!F195", "髙田 JO (38531)")</f>
        <v/>
      </c>
      <c r="P345" s="9" t="inlineStr"/>
      <c r="Q345" s="9" t="inlineStr"/>
      <c r="R345" s="9">
        <f>HYPERLINK("#Schedule!F252", "外山 TE (40785)")</f>
        <v/>
      </c>
      <c r="S345" s="9">
        <f>HYPERLINK("#Schedule!F252", "外山 TE (40785)")</f>
        <v/>
      </c>
      <c r="T345" s="9" t="inlineStr"/>
      <c r="U345" s="9" t="inlineStr"/>
      <c r="V345" s="9">
        <f>HYPERLINK("#Schedule!F49", "織田  (39358)")</f>
        <v/>
      </c>
      <c r="W345" s="9" t="inlineStr"/>
      <c r="X345" s="9">
        <f>HYPERLINK("#Schedule!F187", "石川  (67667)")</f>
        <v/>
      </c>
      <c r="Y345" s="9" t="inlineStr"/>
      <c r="Z345" s="9">
        <f>HYPERLINK("#Schedule!F187", "石川  (67667)")</f>
        <v/>
      </c>
      <c r="AA345" s="9" t="inlineStr"/>
      <c r="AB345" s="9" t="inlineStr"/>
      <c r="AC345" s="9">
        <f>HYPERLINK("#Schedule!F284", "KASEGI (43997)")</f>
        <v/>
      </c>
      <c r="AD345" s="9">
        <f>HYPERLINK("#Schedule!F284", "KASEGI (43997)")</f>
        <v/>
      </c>
      <c r="AE345" s="9" t="inlineStr"/>
      <c r="AF345" s="9" t="inlineStr"/>
      <c r="AG345" s="9" t="inlineStr"/>
      <c r="AH345" s="9" t="inlineStr"/>
      <c r="AI345" s="9" t="inlineStr"/>
      <c r="AJ345" s="9" t="inlineStr"/>
    </row>
    <row r="346">
      <c r="A346" s="1" t="inlineStr">
        <is>
          <t>53825-1</t>
        </is>
      </c>
      <c r="B346" s="1" t="inlineStr">
        <is>
          <t>KOIZUMI KE</t>
        </is>
      </c>
      <c r="C346" s="1" t="inlineStr"/>
      <c r="D346" s="1" t="inlineStr"/>
      <c r="E346" s="1" t="n">
        <v>208</v>
      </c>
      <c r="F346" s="4" t="inlineStr">
        <is>
          <t>KOIZUMIKE</t>
        </is>
      </c>
      <c r="G346" s="4" t="inlineStr">
        <is>
          <t>KE</t>
        </is>
      </c>
      <c r="H346" s="4" t="inlineStr">
        <is>
          <t>機種：</t>
        </is>
      </c>
      <c r="I346" s="4" t="inlineStr">
        <is>
          <t>787</t>
        </is>
      </c>
      <c r="J346" s="4" t="inlineStr">
        <is>
          <t>ランク：</t>
        </is>
      </c>
      <c r="K346" s="4" t="inlineStr">
        <is>
          <t>FO</t>
        </is>
      </c>
      <c r="L346" s="4" t="inlineStr">
        <is>
          <t>期：</t>
        </is>
      </c>
      <c r="M346" s="4" t="inlineStr">
        <is>
          <t>208</t>
        </is>
      </c>
      <c r="N346" s="4" t="inlineStr">
        <is>
          <t>職番：</t>
        </is>
      </c>
      <c r="O346" s="4" t="inlineStr">
        <is>
          <t>00053825</t>
        </is>
      </c>
      <c r="P346" s="4" t="inlineStr">
        <is>
          <t>所属：</t>
        </is>
      </c>
      <c r="Q346" s="4" t="inlineStr">
        <is>
          <t>NWZNW</t>
        </is>
      </c>
      <c r="R346" s="4" t="inlineStr">
        <is>
          <t>CAT資：</t>
        </is>
      </c>
      <c r="S346" s="4" t="inlineStr">
        <is>
          <t>CAT3</t>
        </is>
      </c>
      <c r="T346" s="4" t="inlineStr">
        <is>
          <t>T/O：</t>
        </is>
      </c>
      <c r="U346" s="4" t="inlineStr">
        <is>
          <t>3T251012</t>
        </is>
      </c>
      <c r="V346" s="4" t="inlineStr">
        <is>
          <t>L/D：</t>
        </is>
      </c>
      <c r="W346" s="4" t="inlineStr">
        <is>
          <t>3L251012</t>
        </is>
      </c>
      <c r="X346" s="4" t="inlineStr">
        <is>
          <t>PE：</t>
        </is>
      </c>
      <c r="Y346" s="5" t="inlineStr">
        <is>
          <t>PE260414</t>
        </is>
      </c>
      <c r="Z346" s="4" t="inlineStr">
        <is>
          <t>誕生月：</t>
        </is>
      </c>
      <c r="AA346" s="4" t="inlineStr">
        <is>
          <t>07</t>
        </is>
      </c>
      <c r="AB346" s="6" t="inlineStr">
        <is>
          <t>電話：</t>
        </is>
      </c>
      <c r="AC346" s="6" t="inlineStr">
        <is>
          <t>090-1724-7378</t>
        </is>
      </c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</row>
    <row r="347">
      <c r="A347" s="1" t="inlineStr">
        <is>
          <t>53825-2</t>
        </is>
      </c>
      <c r="B347" s="1" t="inlineStr">
        <is>
          <t>KOIZUMI KE</t>
        </is>
      </c>
      <c r="C347" s="1" t="inlineStr"/>
      <c r="D347" s="1" t="inlineStr"/>
      <c r="E347" s="1" t="n">
        <v>208</v>
      </c>
      <c r="F347" s="7" t="inlineStr">
        <is>
          <t>01</t>
        </is>
      </c>
      <c r="G347" s="7" t="inlineStr">
        <is>
          <t>02</t>
        </is>
      </c>
      <c r="H347" s="7" t="inlineStr">
        <is>
          <t>03</t>
        </is>
      </c>
      <c r="I347" s="7" t="inlineStr">
        <is>
          <t>04</t>
        </is>
      </c>
      <c r="J347" s="8" t="inlineStr">
        <is>
          <t>05</t>
        </is>
      </c>
      <c r="K347" s="7" t="inlineStr">
        <is>
          <t>06</t>
        </is>
      </c>
      <c r="L347" s="7" t="inlineStr">
        <is>
          <t>07</t>
        </is>
      </c>
      <c r="M347" s="7" t="inlineStr">
        <is>
          <t>08</t>
        </is>
      </c>
      <c r="N347" s="8" t="inlineStr">
        <is>
          <t>09</t>
        </is>
      </c>
      <c r="O347" s="8" t="inlineStr">
        <is>
          <t>10</t>
        </is>
      </c>
      <c r="P347" s="7" t="inlineStr">
        <is>
          <t>11</t>
        </is>
      </c>
      <c r="Q347" s="7" t="inlineStr">
        <is>
          <t>12</t>
        </is>
      </c>
      <c r="R347" s="8" t="inlineStr">
        <is>
          <t>13</t>
        </is>
      </c>
      <c r="S347" s="7" t="inlineStr">
        <is>
          <t>14</t>
        </is>
      </c>
      <c r="T347" s="8" t="inlineStr">
        <is>
          <t>15</t>
        </is>
      </c>
      <c r="U347" s="8" t="inlineStr">
        <is>
          <t>16</t>
        </is>
      </c>
      <c r="V347" s="7" t="inlineStr">
        <is>
          <t>17</t>
        </is>
      </c>
      <c r="W347" s="7" t="inlineStr">
        <is>
          <t>18</t>
        </is>
      </c>
      <c r="X347" s="7" t="inlineStr">
        <is>
          <t>19</t>
        </is>
      </c>
      <c r="Y347" s="8" t="inlineStr">
        <is>
          <t>20</t>
        </is>
      </c>
      <c r="Z347" s="7" t="inlineStr">
        <is>
          <t>21</t>
        </is>
      </c>
      <c r="AA347" s="8" t="inlineStr">
        <is>
          <t>22</t>
        </is>
      </c>
      <c r="AB347" s="7" t="inlineStr">
        <is>
          <t>23</t>
        </is>
      </c>
      <c r="AC347" s="8" t="inlineStr">
        <is>
          <t>24</t>
        </is>
      </c>
      <c r="AD347" s="7" t="inlineStr">
        <is>
          <t>25</t>
        </is>
      </c>
      <c r="AE347" s="7" t="inlineStr">
        <is>
          <t>26</t>
        </is>
      </c>
      <c r="AF347" s="8" t="inlineStr">
        <is>
          <t>27</t>
        </is>
      </c>
      <c r="AG347" s="8" t="inlineStr">
        <is>
          <t>28</t>
        </is>
      </c>
      <c r="AH347" s="7" t="inlineStr">
        <is>
          <t>29</t>
        </is>
      </c>
      <c r="AI347" s="7" t="inlineStr">
        <is>
          <t>30</t>
        </is>
      </c>
      <c r="AJ347" s="8" t="inlineStr">
        <is>
          <t>31</t>
        </is>
      </c>
    </row>
    <row r="348">
      <c r="A348" s="1" t="inlineStr">
        <is>
          <t>53825-3</t>
        </is>
      </c>
      <c r="B348" s="1" t="inlineStr">
        <is>
          <t>KOIZUMI KE</t>
        </is>
      </c>
      <c r="C348" s="1" t="inlineStr"/>
      <c r="D348" s="1" t="inlineStr"/>
      <c r="E348" s="1" t="n">
        <v>208</v>
      </c>
      <c r="F348" s="9" t="inlineStr">
        <is>
          <t>HH</t>
        </is>
      </c>
      <c r="G348" s="9" t="inlineStr">
        <is>
          <t>HH</t>
        </is>
      </c>
      <c r="H348" s="9" t="inlineStr">
        <is>
          <t>H/VAC</t>
        </is>
      </c>
      <c r="I348" s="9" t="inlineStr">
        <is>
          <t>H/VAC</t>
        </is>
      </c>
      <c r="J348" s="9" t="inlineStr">
        <is>
          <t>91
FOLQ TRN
92
FOLQ TRN</t>
        </is>
      </c>
      <c r="K348" s="9" t="inlineStr">
        <is>
          <t>H</t>
        </is>
      </c>
      <c r="L348" s="9" t="inlineStr">
        <is>
          <t>RF</t>
        </is>
      </c>
      <c r="M348" s="9" t="inlineStr">
        <is>
          <t>H</t>
        </is>
      </c>
      <c r="N348" s="9" t="inlineStr">
        <is>
          <t>735
CAUG TRN</t>
        </is>
      </c>
      <c r="O348" s="9" t="inlineStr">
        <is>
          <t>26
CAUG TRN</t>
        </is>
      </c>
      <c r="P348" s="9" t="inlineStr">
        <is>
          <t>BLK</t>
        </is>
      </c>
      <c r="Q348" s="9" t="inlineStr">
        <is>
          <t>H</t>
        </is>
      </c>
      <c r="R348" s="9" t="inlineStr">
        <is>
          <t>23
CAUG TRN
24
CAUG TRN</t>
        </is>
      </c>
      <c r="S348" s="9" t="inlineStr">
        <is>
          <t>VAC</t>
        </is>
      </c>
      <c r="T348" s="9" t="inlineStr">
        <is>
          <t>101
CAUG TRN
106
CAUG TRN
113
CAUG TRN</t>
        </is>
      </c>
      <c r="U348" s="9" t="inlineStr">
        <is>
          <t>104
CAUG TRN
111
CAUG TRN
114
CAUG TRN</t>
        </is>
      </c>
      <c r="V348" s="9" t="inlineStr">
        <is>
          <t>H</t>
        </is>
      </c>
      <c r="W348" s="9" t="inlineStr">
        <is>
          <t>CAUG
TRN
#1
15:00-17:00
OJTS</t>
        </is>
      </c>
      <c r="X348" s="9" t="inlineStr">
        <is>
          <t>H</t>
        </is>
      </c>
      <c r="Y348" s="9" t="inlineStr">
        <is>
          <t>725
CAUG TRN</t>
        </is>
      </c>
      <c r="Z348" s="9" t="inlineStr">
        <is>
          <t>---</t>
        </is>
      </c>
      <c r="AA348" s="9" t="inlineStr">
        <is>
          <t>726
CAUG TRN</t>
        </is>
      </c>
      <c r="AB348" s="9" t="inlineStr">
        <is>
          <t>H/VAC</t>
        </is>
      </c>
      <c r="AC348" s="9" t="inlineStr">
        <is>
          <t>133
CAUG TRN
138
CAUG TRN</t>
        </is>
      </c>
      <c r="AD348" s="9" t="inlineStr">
        <is>
          <t>VACN</t>
        </is>
      </c>
      <c r="AE348" s="9" t="inlineStr">
        <is>
          <t>VACN</t>
        </is>
      </c>
      <c r="AF348" s="9" t="inlineStr">
        <is>
          <t>25
CAUG TRN</t>
        </is>
      </c>
      <c r="AG348" s="9" t="inlineStr">
        <is>
          <t>20
CAUG TRN</t>
        </is>
      </c>
      <c r="AH348" s="9" t="inlineStr">
        <is>
          <t>H</t>
        </is>
      </c>
      <c r="AI348" s="9" t="inlineStr">
        <is>
          <t>MIDNIT</t>
        </is>
      </c>
      <c r="AJ348" s="9" t="inlineStr">
        <is>
          <t>79
CAUG TRN</t>
        </is>
      </c>
    </row>
    <row r="349">
      <c r="A349" s="1" t="inlineStr">
        <is>
          <t>53825-4</t>
        </is>
      </c>
      <c r="B349" s="1" t="inlineStr">
        <is>
          <t>KOIZUMI KE</t>
        </is>
      </c>
      <c r="C349" s="1" t="inlineStr"/>
      <c r="D349" s="1" t="inlineStr"/>
      <c r="E349" s="1" t="n"/>
      <c r="F349" s="9" t="inlineStr"/>
      <c r="G349" s="9" t="inlineStr"/>
      <c r="H349" s="9" t="inlineStr"/>
      <c r="I349" s="9" t="inlineStr"/>
      <c r="J349" s="9">
        <f>HYPERLINK("#Schedule!F187", "石川  (67667)")</f>
        <v/>
      </c>
      <c r="K349" s="9" t="inlineStr"/>
      <c r="L349" s="9" t="inlineStr"/>
      <c r="M349" s="9" t="inlineStr"/>
      <c r="N349" s="9">
        <f>HYPERLINK("#Schedule!F252", "外山 TE (40785)")</f>
        <v/>
      </c>
      <c r="O349" s="9">
        <f>HYPERLINK("#Schedule!F252", "外山 TE (40785)")</f>
        <v/>
      </c>
      <c r="P349" s="9" t="inlineStr"/>
      <c r="Q349" s="9" t="inlineStr"/>
      <c r="R349" s="9">
        <f>HYPERLINK("#Schedule!F199", "竹中 NI (38554)")</f>
        <v/>
      </c>
      <c r="S349" s="9" t="inlineStr"/>
      <c r="T349" s="9">
        <f>HYPERLINK("#Schedule!F152", "小原 TA (39676)")</f>
        <v/>
      </c>
      <c r="U349" s="9">
        <f>HYPERLINK("#Schedule!F152", "小原 TA (39676)")</f>
        <v/>
      </c>
      <c r="V349" s="9" t="inlineStr"/>
      <c r="W349" s="9">
        <f>HYPERLINK("#Schedule!F24", "I青木 TO (67665)")</f>
        <v/>
      </c>
      <c r="X349" s="9" t="inlineStr"/>
      <c r="Y349" s="9">
        <f>HYPERLINK("#Schedule!F275", "MATSUNOSH (38570)")</f>
        <v/>
      </c>
      <c r="Z349" s="9" t="inlineStr"/>
      <c r="AA349" s="9">
        <f>HYPERLINK("#Schedule!F275", "MATSUNOSH (38570)")</f>
        <v/>
      </c>
      <c r="AB349" s="9" t="inlineStr"/>
      <c r="AC349" s="9">
        <f>HYPERLINK("#Schedule!F119", "川瀨 HI (67211)")</f>
        <v/>
      </c>
      <c r="AD349" s="9" t="inlineStr"/>
      <c r="AE349" s="9" t="inlineStr"/>
      <c r="AF349" s="9">
        <f>HYPERLINK("#Schedule!F77", "古池 TO (67650)")</f>
        <v/>
      </c>
      <c r="AG349" s="9">
        <f>HYPERLINK("#Schedule!F77", "古池 TO (67650)")</f>
        <v/>
      </c>
      <c r="AH349" s="9" t="inlineStr"/>
      <c r="AI349" s="9" t="inlineStr"/>
      <c r="AJ349" s="9">
        <f>HYPERLINK("#Schedule!F208", "本田 SH (40789)")</f>
        <v/>
      </c>
    </row>
    <row r="350">
      <c r="A350" s="1" t="inlineStr">
        <is>
          <t>51865-1</t>
        </is>
      </c>
      <c r="B350" s="1" t="inlineStr">
        <is>
          <t>NAKAJIMA TA</t>
        </is>
      </c>
      <c r="C350" s="1" t="inlineStr"/>
      <c r="D350" s="1" t="inlineStr"/>
      <c r="E350" s="1" t="n">
        <v>219</v>
      </c>
      <c r="F350" s="4" t="inlineStr">
        <is>
          <t>NAKAJIMATA</t>
        </is>
      </c>
      <c r="G350" s="4" t="inlineStr">
        <is>
          <t>TA</t>
        </is>
      </c>
      <c r="H350" s="4" t="inlineStr">
        <is>
          <t>機種：</t>
        </is>
      </c>
      <c r="I350" s="4" t="inlineStr">
        <is>
          <t>787</t>
        </is>
      </c>
      <c r="J350" s="4" t="inlineStr">
        <is>
          <t>ランク：</t>
        </is>
      </c>
      <c r="K350" s="4" t="inlineStr">
        <is>
          <t>FO</t>
        </is>
      </c>
      <c r="L350" s="4" t="inlineStr">
        <is>
          <t>期：</t>
        </is>
      </c>
      <c r="M350" s="4" t="inlineStr">
        <is>
          <t>219</t>
        </is>
      </c>
      <c r="N350" s="4" t="inlineStr">
        <is>
          <t>職番：</t>
        </is>
      </c>
      <c r="O350" s="4" t="inlineStr">
        <is>
          <t>00051865</t>
        </is>
      </c>
      <c r="P350" s="4" t="inlineStr">
        <is>
          <t>所属：</t>
        </is>
      </c>
      <c r="Q350" s="4" t="inlineStr">
        <is>
          <t>NWZNW</t>
        </is>
      </c>
      <c r="R350" s="4" t="inlineStr">
        <is>
          <t>CAT資：</t>
        </is>
      </c>
      <c r="S350" s="4" t="inlineStr">
        <is>
          <t>CAT3</t>
        </is>
      </c>
      <c r="T350" s="4" t="inlineStr">
        <is>
          <t>T/O：</t>
        </is>
      </c>
      <c r="U350" s="4" t="inlineStr">
        <is>
          <t>3T251006</t>
        </is>
      </c>
      <c r="V350" s="4" t="inlineStr">
        <is>
          <t>L/D：</t>
        </is>
      </c>
      <c r="W350" s="4" t="inlineStr">
        <is>
          <t>3L251006</t>
        </is>
      </c>
      <c r="X350" s="4" t="inlineStr">
        <is>
          <t>PE：</t>
        </is>
      </c>
      <c r="Y350" s="5" t="inlineStr">
        <is>
          <t>PE251106</t>
        </is>
      </c>
      <c r="Z350" s="4" t="inlineStr">
        <is>
          <t>誕生月：</t>
        </is>
      </c>
      <c r="AA350" s="4" t="inlineStr">
        <is>
          <t>09</t>
        </is>
      </c>
      <c r="AB350" s="6" t="inlineStr">
        <is>
          <t>電話：</t>
        </is>
      </c>
      <c r="AC350" s="6" t="inlineStr">
        <is>
          <t>090-5460-7298</t>
        </is>
      </c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</row>
    <row r="351">
      <c r="A351" s="1" t="inlineStr">
        <is>
          <t>51865-2</t>
        </is>
      </c>
      <c r="B351" s="1" t="inlineStr">
        <is>
          <t>NAKAJIMA TA</t>
        </is>
      </c>
      <c r="C351" s="1" t="inlineStr"/>
      <c r="D351" s="1" t="inlineStr"/>
      <c r="E351" s="1" t="n">
        <v>219</v>
      </c>
      <c r="F351" s="8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8" t="inlineStr">
        <is>
          <t>04</t>
        </is>
      </c>
      <c r="J351" s="7" t="inlineStr">
        <is>
          <t>05</t>
        </is>
      </c>
      <c r="K351" s="8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8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3" t="inlineStr">
        <is>
          <t>14</t>
        </is>
      </c>
      <c r="T351" s="8" t="inlineStr">
        <is>
          <t>15</t>
        </is>
      </c>
      <c r="U351" s="7" t="inlineStr">
        <is>
          <t>16</t>
        </is>
      </c>
      <c r="V351" s="8" t="inlineStr">
        <is>
          <t>17</t>
        </is>
      </c>
      <c r="W351" s="7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7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14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7" t="inlineStr">
        <is>
          <t>29</t>
        </is>
      </c>
      <c r="AI351" s="7" t="inlineStr">
        <is>
          <t>30</t>
        </is>
      </c>
      <c r="AJ351" s="14" t="inlineStr">
        <is>
          <t>31</t>
        </is>
      </c>
    </row>
    <row r="352">
      <c r="A352" s="1" t="inlineStr">
        <is>
          <t>51865-3</t>
        </is>
      </c>
      <c r="B352" s="1" t="inlineStr">
        <is>
          <t>NAKAJIMA TA</t>
        </is>
      </c>
      <c r="C352" s="1" t="inlineStr"/>
      <c r="D352" s="1" t="inlineStr"/>
      <c r="E352" s="1" t="n">
        <v>219</v>
      </c>
      <c r="F352" s="9" t="inlineStr">
        <is>
          <t>116
VLDE TRN
125
VLDE TRN
128
VLDE TRN</t>
        </is>
      </c>
      <c r="G352" s="9" t="inlineStr">
        <is>
          <t>H</t>
        </is>
      </c>
      <c r="H352" s="9" t="inlineStr">
        <is>
          <t>H</t>
        </is>
      </c>
      <c r="I352" s="9" t="inlineStr">
        <is>
          <t>725
VLDE TRN</t>
        </is>
      </c>
      <c r="J352" s="9" t="inlineStr">
        <is>
          <t>---</t>
        </is>
      </c>
      <c r="K352" s="9" t="inlineStr">
        <is>
          <t>726
VLDE TRN</t>
        </is>
      </c>
      <c r="L352" s="9" t="inlineStr">
        <is>
          <t>*H</t>
        </is>
      </c>
      <c r="M352" s="9" t="inlineStr">
        <is>
          <t>H</t>
        </is>
      </c>
      <c r="N352" s="9" t="inlineStr">
        <is>
          <t>91
VLDE TRN
92
VLDE TRN</t>
        </is>
      </c>
      <c r="O352" s="9" t="inlineStr">
        <is>
          <t>H</t>
        </is>
      </c>
      <c r="P352" s="9" t="inlineStr">
        <is>
          <t>SUC2</t>
        </is>
      </c>
      <c r="Q352" s="9" t="inlineStr">
        <is>
          <t>RF</t>
        </is>
      </c>
      <c r="R352" s="9" t="inlineStr">
        <is>
          <t>H</t>
        </is>
      </c>
      <c r="S352" s="9" t="inlineStr">
        <is>
          <t>EDU
PH TRN
GMT0</t>
        </is>
      </c>
      <c r="T352" s="9" t="inlineStr">
        <is>
          <t>759
VLDE TRN</t>
        </is>
      </c>
      <c r="U352" s="9" t="inlineStr">
        <is>
          <t>---</t>
        </is>
      </c>
      <c r="V352" s="9" t="inlineStr">
        <is>
          <t>70
VLDE TRN</t>
        </is>
      </c>
      <c r="W352" s="9" t="inlineStr">
        <is>
          <t>HH</t>
        </is>
      </c>
      <c r="X352" s="9" t="inlineStr">
        <is>
          <t>H</t>
        </is>
      </c>
      <c r="Y352" s="9" t="inlineStr">
        <is>
          <t>74</t>
        </is>
      </c>
      <c r="Z352" s="9" t="inlineStr">
        <is>
          <t>---</t>
        </is>
      </c>
      <c r="AA352" s="9" t="inlineStr">
        <is>
          <t>73</t>
        </is>
      </c>
      <c r="AB352" s="9" t="inlineStr">
        <is>
          <t>*H</t>
        </is>
      </c>
      <c r="AC352" s="9" t="inlineStr">
        <is>
          <t>H</t>
        </is>
      </c>
      <c r="AD352" s="9" t="inlineStr">
        <is>
          <t>PH3
TRN</t>
        </is>
      </c>
      <c r="AE352" s="9" t="inlineStr">
        <is>
          <t>95</t>
        </is>
      </c>
      <c r="AF352" s="9" t="inlineStr">
        <is>
          <t>---</t>
        </is>
      </c>
      <c r="AG352" s="9" t="inlineStr">
        <is>
          <t>90
225DH</t>
        </is>
      </c>
      <c r="AH352" s="9" t="inlineStr">
        <is>
          <t>891
894
134DH</t>
        </is>
      </c>
      <c r="AI352" s="9" t="inlineStr">
        <is>
          <t>H</t>
        </is>
      </c>
      <c r="AJ352" s="9" t="inlineStr">
        <is>
          <t>PH3
TRN</t>
        </is>
      </c>
    </row>
    <row r="353">
      <c r="A353" s="1" t="inlineStr">
        <is>
          <t>51865-4</t>
        </is>
      </c>
      <c r="B353" s="1" t="inlineStr">
        <is>
          <t>NAKAJIMA TA</t>
        </is>
      </c>
      <c r="C353" s="1" t="inlineStr"/>
      <c r="D353" s="1" t="inlineStr"/>
      <c r="E353" s="1" t="n"/>
      <c r="F353" s="9">
        <f>HYPERLINK("#Schedule!F173", "藤野 AK (42421)")</f>
        <v/>
      </c>
      <c r="G353" s="9" t="inlineStr"/>
      <c r="H353" s="9" t="inlineStr"/>
      <c r="I353" s="9">
        <f>HYPERLINK("#Schedule!F199", "竹中 NI (38554)")</f>
        <v/>
      </c>
      <c r="J353" s="9" t="inlineStr"/>
      <c r="K353" s="9">
        <f>HYPERLINK("#Schedule!F199", "竹中 NI (38554)")</f>
        <v/>
      </c>
      <c r="L353" s="9" t="inlineStr"/>
      <c r="M353" s="9" t="inlineStr"/>
      <c r="N353" s="9">
        <f>HYPERLINK("#Schedule!F199", "竹中 NI (38554)")</f>
        <v/>
      </c>
      <c r="O353" s="9" t="inlineStr"/>
      <c r="P353" s="9" t="inlineStr"/>
      <c r="Q353" s="9" t="inlineStr"/>
      <c r="R353" s="9" t="inlineStr"/>
      <c r="S353" s="9" t="inlineStr"/>
      <c r="T353" s="9">
        <f>HYPERLINK("#Schedule!F208", "本田 SH (40789)")</f>
        <v/>
      </c>
      <c r="U353" s="9" t="inlineStr"/>
      <c r="V353" s="9">
        <f>HYPERLINK("#Schedule!F208", "本田 SH (40789)")</f>
        <v/>
      </c>
      <c r="W353" s="9" t="inlineStr"/>
      <c r="X353" s="9" t="inlineStr"/>
      <c r="Y353" s="9" t="inlineStr"/>
      <c r="Z353" s="9" t="inlineStr"/>
      <c r="AA353" s="9" t="inlineStr"/>
      <c r="AB353" s="9" t="inlineStr"/>
      <c r="AC353" s="9" t="inlineStr"/>
      <c r="AD353" s="9" t="inlineStr"/>
      <c r="AE353" s="9" t="inlineStr"/>
      <c r="AF353" s="9" t="inlineStr"/>
      <c r="AG353" s="9" t="inlineStr"/>
      <c r="AH353" s="9" t="inlineStr"/>
      <c r="AI353" s="9" t="inlineStr"/>
      <c r="AJ353" s="9" t="inlineStr"/>
    </row>
    <row r="354">
      <c r="A354" s="1" t="inlineStr">
        <is>
          <t>53797-1</t>
        </is>
      </c>
      <c r="B354" s="1" t="inlineStr">
        <is>
          <t>TASAKA SH</t>
        </is>
      </c>
      <c r="C354" s="1" t="inlineStr"/>
      <c r="D354" s="1" t="inlineStr"/>
      <c r="E354" s="1" t="n">
        <v>192</v>
      </c>
      <c r="F354" s="4" t="inlineStr">
        <is>
          <t>TASAKASH</t>
        </is>
      </c>
      <c r="G354" s="4" t="inlineStr">
        <is>
          <t>SH</t>
        </is>
      </c>
      <c r="H354" s="4" t="inlineStr">
        <is>
          <t>機種：</t>
        </is>
      </c>
      <c r="I354" s="4" t="inlineStr">
        <is>
          <t>787</t>
        </is>
      </c>
      <c r="J354" s="4" t="inlineStr">
        <is>
          <t>ランク：</t>
        </is>
      </c>
      <c r="K354" s="4" t="inlineStr">
        <is>
          <t>FO</t>
        </is>
      </c>
      <c r="L354" s="4" t="inlineStr">
        <is>
          <t>期：</t>
        </is>
      </c>
      <c r="M354" s="4" t="inlineStr">
        <is>
          <t>192</t>
        </is>
      </c>
      <c r="N354" s="4" t="inlineStr">
        <is>
          <t>職番：</t>
        </is>
      </c>
      <c r="O354" s="4" t="inlineStr">
        <is>
          <t>00053797</t>
        </is>
      </c>
      <c r="P354" s="4" t="inlineStr">
        <is>
          <t>所属：</t>
        </is>
      </c>
      <c r="Q354" s="4" t="inlineStr">
        <is>
          <t>NWZNW</t>
        </is>
      </c>
      <c r="R354" s="4" t="inlineStr">
        <is>
          <t>CAT資：</t>
        </is>
      </c>
      <c r="S354" s="4" t="inlineStr">
        <is>
          <t>CAT3</t>
        </is>
      </c>
      <c r="T354" s="4" t="inlineStr">
        <is>
          <t>T/O：</t>
        </is>
      </c>
      <c r="U354" s="4" t="inlineStr">
        <is>
          <t>3T251009</t>
        </is>
      </c>
      <c r="V354" s="4" t="inlineStr">
        <is>
          <t>L/D：</t>
        </is>
      </c>
      <c r="W354" s="4" t="inlineStr">
        <is>
          <t>3L251009</t>
        </is>
      </c>
      <c r="X354" s="4" t="inlineStr">
        <is>
          <t>PE：</t>
        </is>
      </c>
      <c r="Y354" s="5" t="inlineStr">
        <is>
          <t>PE260320</t>
        </is>
      </c>
      <c r="Z354" s="4" t="inlineStr">
        <is>
          <t>誕生月：</t>
        </is>
      </c>
      <c r="AA354" s="4" t="inlineStr">
        <is>
          <t>10</t>
        </is>
      </c>
      <c r="AB354" s="6" t="inlineStr">
        <is>
          <t>電話：</t>
        </is>
      </c>
      <c r="AC354" s="6" t="inlineStr">
        <is>
          <t>080-7073-7800</t>
        </is>
      </c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</row>
    <row r="355">
      <c r="A355" s="1" t="inlineStr">
        <is>
          <t>53797-2</t>
        </is>
      </c>
      <c r="B355" s="1" t="inlineStr">
        <is>
          <t>TASAKA SH</t>
        </is>
      </c>
      <c r="C355" s="1" t="inlineStr"/>
      <c r="D355" s="1" t="inlineStr"/>
      <c r="E355" s="1" t="n">
        <v>192</v>
      </c>
      <c r="F355" s="7" t="inlineStr">
        <is>
          <t>01</t>
        </is>
      </c>
      <c r="G355" s="7" t="inlineStr">
        <is>
          <t>02</t>
        </is>
      </c>
      <c r="H355" s="8" t="inlineStr">
        <is>
          <t>03</t>
        </is>
      </c>
      <c r="I355" s="8" t="inlineStr">
        <is>
          <t>04</t>
        </is>
      </c>
      <c r="J355" s="7" t="inlineStr">
        <is>
          <t>05</t>
        </is>
      </c>
      <c r="K355" s="8" t="inlineStr">
        <is>
          <t>06</t>
        </is>
      </c>
      <c r="L355" s="7" t="inlineStr">
        <is>
          <t>07</t>
        </is>
      </c>
      <c r="M355" s="8" t="inlineStr">
        <is>
          <t>08</t>
        </is>
      </c>
      <c r="N355" s="8" t="inlineStr">
        <is>
          <t>09</t>
        </is>
      </c>
      <c r="O355" s="7" t="inlineStr">
        <is>
          <t>10</t>
        </is>
      </c>
      <c r="P355" s="8" t="inlineStr">
        <is>
          <t>11</t>
        </is>
      </c>
      <c r="Q355" s="8" t="inlineStr">
        <is>
          <t>12</t>
        </is>
      </c>
      <c r="R355" s="7" t="inlineStr">
        <is>
          <t>13</t>
        </is>
      </c>
      <c r="S355" s="7" t="inlineStr">
        <is>
          <t>14</t>
        </is>
      </c>
      <c r="T355" s="8" t="inlineStr">
        <is>
          <t>15</t>
        </is>
      </c>
      <c r="U355" s="7" t="inlineStr">
        <is>
          <t>16</t>
        </is>
      </c>
      <c r="V355" s="8" t="inlineStr">
        <is>
          <t>17</t>
        </is>
      </c>
      <c r="W355" s="8" t="inlineStr">
        <is>
          <t>18</t>
        </is>
      </c>
      <c r="X355" s="7" t="inlineStr">
        <is>
          <t>19</t>
        </is>
      </c>
      <c r="Y355" s="7" t="inlineStr">
        <is>
          <t>20</t>
        </is>
      </c>
      <c r="Z355" s="7" t="inlineStr">
        <is>
          <t>21</t>
        </is>
      </c>
      <c r="AA355" s="7" t="inlineStr">
        <is>
          <t>22</t>
        </is>
      </c>
      <c r="AB355" s="7" t="inlineStr">
        <is>
          <t>23</t>
        </is>
      </c>
      <c r="AC355" s="7" t="inlineStr">
        <is>
          <t>24</t>
        </is>
      </c>
      <c r="AD355" s="7" t="inlineStr">
        <is>
          <t>25</t>
        </is>
      </c>
      <c r="AE355" s="7" t="inlineStr">
        <is>
          <t>26</t>
        </is>
      </c>
      <c r="AF355" s="7" t="inlineStr">
        <is>
          <t>27</t>
        </is>
      </c>
      <c r="AG355" s="7" t="inlineStr">
        <is>
          <t>28</t>
        </is>
      </c>
      <c r="AH355" s="7" t="inlineStr">
        <is>
          <t>29</t>
        </is>
      </c>
      <c r="AI355" s="7" t="inlineStr">
        <is>
          <t>30</t>
        </is>
      </c>
      <c r="AJ355" s="7" t="inlineStr">
        <is>
          <t>31</t>
        </is>
      </c>
    </row>
    <row r="356">
      <c r="A356" s="1" t="inlineStr">
        <is>
          <t>53797-3</t>
        </is>
      </c>
      <c r="B356" s="1" t="inlineStr">
        <is>
          <t>TASAKA SH</t>
        </is>
      </c>
      <c r="C356" s="1" t="inlineStr"/>
      <c r="D356" s="1" t="inlineStr"/>
      <c r="E356" s="1" t="n">
        <v>192</v>
      </c>
      <c r="F356" s="9" t="inlineStr">
        <is>
          <t>*H</t>
        </is>
      </c>
      <c r="G356" s="9" t="inlineStr">
        <is>
          <t>H</t>
        </is>
      </c>
      <c r="H356" s="9" t="inlineStr">
        <is>
          <t>119
CAUG TRN
124
CAUG TRN
139
CAUG TRN</t>
        </is>
      </c>
      <c r="I356" s="9" t="inlineStr">
        <is>
          <t>116
CAUG TRN
125
CAUG TRN
128
CAUG TRN</t>
        </is>
      </c>
      <c r="J356" s="9" t="inlineStr">
        <is>
          <t>H</t>
        </is>
      </c>
      <c r="K356" s="9" t="inlineStr">
        <is>
          <t>97
CAUG TRN
98
CAUG TRN</t>
        </is>
      </c>
      <c r="L356" s="9" t="inlineStr">
        <is>
          <t>H</t>
        </is>
      </c>
      <c r="M356" s="9" t="inlineStr">
        <is>
          <t>809
CAUG TRN</t>
        </is>
      </c>
      <c r="N356" s="9" t="inlineStr">
        <is>
          <t>802
CAUG TRN</t>
        </is>
      </c>
      <c r="O356" s="9" t="inlineStr">
        <is>
          <t>H</t>
        </is>
      </c>
      <c r="P356" s="9" t="inlineStr">
        <is>
          <t>133
CAUG TRN</t>
        </is>
      </c>
      <c r="Q356" s="9" t="inlineStr">
        <is>
          <t>116
CAUG TRN</t>
        </is>
      </c>
      <c r="R356" s="9" t="inlineStr">
        <is>
          <t>H</t>
        </is>
      </c>
      <c r="S356" s="9" t="inlineStr">
        <is>
          <t>H*</t>
        </is>
      </c>
      <c r="T356" s="9" t="inlineStr">
        <is>
          <t>93
CAUG TRN
94
CAUG TRN</t>
        </is>
      </c>
      <c r="U356" s="9" t="inlineStr">
        <is>
          <t>VAC</t>
        </is>
      </c>
      <c r="V356" s="9" t="inlineStr">
        <is>
          <t>25
CAUG TRN</t>
        </is>
      </c>
      <c r="W356" s="9" t="inlineStr">
        <is>
          <t>20
CAUG TRN</t>
        </is>
      </c>
      <c r="X356" s="9" t="inlineStr">
        <is>
          <t>H</t>
        </is>
      </c>
      <c r="Y356" s="9" t="inlineStr">
        <is>
          <t>H</t>
        </is>
      </c>
      <c r="Z356" s="9" t="inlineStr">
        <is>
          <t>H</t>
        </is>
      </c>
      <c r="AA356" s="9" t="inlineStr">
        <is>
          <t>MTG0</t>
        </is>
      </c>
      <c r="AB356" s="9" t="inlineStr">
        <is>
          <t>111
QCUG TRN
114
QCUG TRN</t>
        </is>
      </c>
      <c r="AC356" s="9" t="inlineStr">
        <is>
          <t>BLK</t>
        </is>
      </c>
      <c r="AD356" s="9" t="inlineStr">
        <is>
          <t>BLK</t>
        </is>
      </c>
      <c r="AE356" s="9" t="inlineStr">
        <is>
          <t>BLK</t>
        </is>
      </c>
      <c r="AF356" s="9" t="inlineStr">
        <is>
          <t>BLK</t>
        </is>
      </c>
      <c r="AG356" s="9" t="inlineStr">
        <is>
          <t>OGZ0</t>
        </is>
      </c>
      <c r="AH356" s="9" t="inlineStr">
        <is>
          <t>BLK</t>
        </is>
      </c>
      <c r="AI356" s="9" t="inlineStr">
        <is>
          <t>R</t>
        </is>
      </c>
      <c r="AJ356" s="9" t="inlineStr">
        <is>
          <t>R</t>
        </is>
      </c>
    </row>
    <row r="357">
      <c r="A357" s="1" t="inlineStr">
        <is>
          <t>53797-4</t>
        </is>
      </c>
      <c r="B357" s="1" t="inlineStr">
        <is>
          <t>TASAKA SH</t>
        </is>
      </c>
      <c r="C357" s="1" t="inlineStr"/>
      <c r="D357" s="1" t="inlineStr"/>
      <c r="E357" s="1" t="n"/>
      <c r="F357" s="9" t="inlineStr"/>
      <c r="G357" s="9" t="inlineStr"/>
      <c r="H357" s="9">
        <f>HYPERLINK("#Schedule!F204", "松井  (40567)")</f>
        <v/>
      </c>
      <c r="I357" s="9">
        <f>HYPERLINK("#Schedule!F204", "松井  (40567)")</f>
        <v/>
      </c>
      <c r="J357" s="9" t="inlineStr"/>
      <c r="K357" s="9">
        <f>HYPERLINK("#Schedule!F195", "髙田 JO (38531)")</f>
        <v/>
      </c>
      <c r="L357" s="9" t="inlineStr"/>
      <c r="M357" s="9">
        <f>HYPERLINK("#Schedule!F98", "田中 HR (41476)")</f>
        <v/>
      </c>
      <c r="N357" s="9">
        <f>HYPERLINK("#Schedule!F98", "田中 HR (41476)")</f>
        <v/>
      </c>
      <c r="O357" s="9" t="inlineStr"/>
      <c r="P357" s="9">
        <f>HYPERLINK("#Schedule!F269", "永澤 TA (49245)")</f>
        <v/>
      </c>
      <c r="Q357" s="9">
        <f>HYPERLINK("#Schedule!F269", "永澤 TA (49245)")</f>
        <v/>
      </c>
      <c r="R357" s="9" t="inlineStr"/>
      <c r="S357" s="9" t="inlineStr"/>
      <c r="T357" s="9">
        <f>HYPERLINK("#Schedule!F53", "新野 TO (41373)")</f>
        <v/>
      </c>
      <c r="U357" s="9" t="inlineStr"/>
      <c r="V357" s="9">
        <f>HYPERLINK("#Schedule!F147", "吉村MA (39670)")</f>
        <v/>
      </c>
      <c r="W357" s="9">
        <f>HYPERLINK("#Schedule!F147", "吉村MA (39670)")</f>
        <v/>
      </c>
      <c r="X357" s="9" t="inlineStr"/>
      <c r="Y357" s="9" t="inlineStr"/>
      <c r="Z357" s="9" t="inlineStr"/>
      <c r="AA357" s="9" t="inlineStr"/>
      <c r="AB357" s="9" t="inlineStr"/>
      <c r="AC357" s="9" t="inlineStr"/>
      <c r="AD357" s="9" t="inlineStr"/>
      <c r="AE357" s="9" t="inlineStr"/>
      <c r="AF357" s="9" t="inlineStr"/>
      <c r="AG357" s="9" t="inlineStr"/>
      <c r="AH357" s="9" t="inlineStr"/>
      <c r="AI357" s="9" t="inlineStr"/>
      <c r="AJ357" s="9" t="inlineStr"/>
    </row>
    <row r="358">
      <c r="A358" s="1" t="inlineStr">
        <is>
          <t>43856-1</t>
        </is>
      </c>
      <c r="B358" s="1" t="inlineStr">
        <is>
          <t>KIMURA SG</t>
        </is>
      </c>
      <c r="C358" s="1" t="inlineStr"/>
      <c r="D358" s="1" t="inlineStr"/>
      <c r="E358" s="1" t="n">
        <v>93</v>
      </c>
      <c r="F358" s="4" t="inlineStr">
        <is>
          <t>KIMURASG</t>
        </is>
      </c>
      <c r="G358" s="4" t="inlineStr">
        <is>
          <t>SG</t>
        </is>
      </c>
      <c r="H358" s="4" t="inlineStr">
        <is>
          <t>機種：</t>
        </is>
      </c>
      <c r="I358" s="4" t="inlineStr">
        <is>
          <t>787</t>
        </is>
      </c>
      <c r="J358" s="4" t="inlineStr">
        <is>
          <t>ランク：</t>
        </is>
      </c>
      <c r="K358" s="4" t="inlineStr">
        <is>
          <t>FO</t>
        </is>
      </c>
      <c r="L358" s="4" t="inlineStr">
        <is>
          <t>期：</t>
        </is>
      </c>
      <c r="M358" s="4" t="inlineStr">
        <is>
          <t>093</t>
        </is>
      </c>
      <c r="N358" s="4" t="inlineStr">
        <is>
          <t>職番：</t>
        </is>
      </c>
      <c r="O358" s="4" t="inlineStr">
        <is>
          <t>00043856</t>
        </is>
      </c>
      <c r="P358" s="4" t="inlineStr">
        <is>
          <t>所属：</t>
        </is>
      </c>
      <c r="Q358" s="4" t="inlineStr">
        <is>
          <t>NWZNW</t>
        </is>
      </c>
      <c r="R358" s="4" t="inlineStr">
        <is>
          <t>CAT資：</t>
        </is>
      </c>
      <c r="S358" s="4" t="inlineStr">
        <is>
          <t>CAT3</t>
        </is>
      </c>
      <c r="T358" s="4" t="inlineStr">
        <is>
          <t>T/O：</t>
        </is>
      </c>
      <c r="U358" s="4" t="inlineStr">
        <is>
          <t>3T251007</t>
        </is>
      </c>
      <c r="V358" s="4" t="inlineStr">
        <is>
          <t>L/D：</t>
        </is>
      </c>
      <c r="W358" s="4" t="inlineStr">
        <is>
          <t>3L251007</t>
        </is>
      </c>
      <c r="X358" s="4" t="inlineStr">
        <is>
          <t>PE：</t>
        </is>
      </c>
      <c r="Y358" s="5" t="inlineStr">
        <is>
          <t>PE251205</t>
        </is>
      </c>
      <c r="Z358" s="4" t="inlineStr">
        <is>
          <t>誕生月：</t>
        </is>
      </c>
      <c r="AA358" s="4" t="inlineStr">
        <is>
          <t>09</t>
        </is>
      </c>
      <c r="AB358" s="6" t="inlineStr">
        <is>
          <t>電話：</t>
        </is>
      </c>
      <c r="AC358" s="6" t="inlineStr">
        <is>
          <t>03-3986-5345</t>
        </is>
      </c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</row>
    <row r="359">
      <c r="A359" s="1" t="inlineStr">
        <is>
          <t>43856-2</t>
        </is>
      </c>
      <c r="B359" s="1" t="inlineStr">
        <is>
          <t>KIMURA SG</t>
        </is>
      </c>
      <c r="C359" s="1" t="inlineStr"/>
      <c r="D359" s="1" t="inlineStr"/>
      <c r="E359" s="1" t="n">
        <v>93</v>
      </c>
      <c r="F359" s="7" t="inlineStr">
        <is>
          <t>01</t>
        </is>
      </c>
      <c r="G359" s="7" t="inlineStr">
        <is>
          <t>02</t>
        </is>
      </c>
      <c r="H359" s="7" t="inlineStr">
        <is>
          <t>03</t>
        </is>
      </c>
      <c r="I359" s="7" t="inlineStr">
        <is>
          <t>04</t>
        </is>
      </c>
      <c r="J359" s="7" t="inlineStr">
        <is>
          <t>05</t>
        </is>
      </c>
      <c r="K359" s="7" t="inlineStr">
        <is>
          <t>06</t>
        </is>
      </c>
      <c r="L359" s="7" t="inlineStr">
        <is>
          <t>07</t>
        </is>
      </c>
      <c r="M359" s="7" t="inlineStr">
        <is>
          <t>08</t>
        </is>
      </c>
      <c r="N359" s="7" t="inlineStr">
        <is>
          <t>09</t>
        </is>
      </c>
      <c r="O359" s="7" t="inlineStr">
        <is>
          <t>10</t>
        </is>
      </c>
      <c r="P359" s="7" t="inlineStr">
        <is>
          <t>11</t>
        </is>
      </c>
      <c r="Q359" s="8" t="inlineStr">
        <is>
          <t>12</t>
        </is>
      </c>
      <c r="R359" s="8" t="inlineStr">
        <is>
          <t>13</t>
        </is>
      </c>
      <c r="S359" s="7" t="inlineStr">
        <is>
          <t>14</t>
        </is>
      </c>
      <c r="T359" s="13" t="inlineStr">
        <is>
          <t>15</t>
        </is>
      </c>
      <c r="U359" s="7" t="inlineStr">
        <is>
          <t>16</t>
        </is>
      </c>
      <c r="V359" s="7" t="inlineStr">
        <is>
          <t>17</t>
        </is>
      </c>
      <c r="W359" s="8" t="inlineStr">
        <is>
          <t>18</t>
        </is>
      </c>
      <c r="X359" s="7" t="inlineStr">
        <is>
          <t>19</t>
        </is>
      </c>
      <c r="Y359" s="8" t="inlineStr">
        <is>
          <t>20</t>
        </is>
      </c>
      <c r="Z359" s="8" t="inlineStr">
        <is>
          <t>21</t>
        </is>
      </c>
      <c r="AA359" s="7" t="inlineStr">
        <is>
          <t>22</t>
        </is>
      </c>
      <c r="AB359" s="7" t="inlineStr">
        <is>
          <t>23</t>
        </is>
      </c>
      <c r="AC359" s="7" t="inlineStr">
        <is>
          <t>24</t>
        </is>
      </c>
      <c r="AD359" s="8" t="inlineStr">
        <is>
          <t>25</t>
        </is>
      </c>
      <c r="AE359" s="8" t="inlineStr">
        <is>
          <t>26</t>
        </is>
      </c>
      <c r="AF359" s="7" t="inlineStr">
        <is>
          <t>27</t>
        </is>
      </c>
      <c r="AG359" s="7" t="inlineStr">
        <is>
          <t>28</t>
        </is>
      </c>
      <c r="AH359" s="12" t="inlineStr">
        <is>
          <t>29</t>
        </is>
      </c>
      <c r="AI359" s="7" t="inlineStr">
        <is>
          <t>30</t>
        </is>
      </c>
      <c r="AJ359" s="7" t="inlineStr">
        <is>
          <t>31</t>
        </is>
      </c>
    </row>
    <row r="360">
      <c r="A360" s="1" t="inlineStr">
        <is>
          <t>43856-3</t>
        </is>
      </c>
      <c r="B360" s="1" t="inlineStr">
        <is>
          <t>KIMURA SG</t>
        </is>
      </c>
      <c r="C360" s="1" t="inlineStr"/>
      <c r="D360" s="1" t="inlineStr"/>
      <c r="E360" s="1" t="n">
        <v>93</v>
      </c>
      <c r="F360" s="9" t="inlineStr">
        <is>
          <t>BLK</t>
        </is>
      </c>
      <c r="G360" s="9" t="inlineStr">
        <is>
          <t>H*/VAC</t>
        </is>
      </c>
      <c r="H360" s="9" t="inlineStr">
        <is>
          <t>CMD
TRN
#2
19:00-21:00</t>
        </is>
      </c>
      <c r="I360" s="9" t="inlineStr">
        <is>
          <t>99</t>
        </is>
      </c>
      <c r="J360" s="9" t="inlineStr">
        <is>
          <t>96</t>
        </is>
      </c>
      <c r="K360" s="9" t="inlineStr">
        <is>
          <t>H</t>
        </is>
      </c>
      <c r="L360" s="9" t="inlineStr">
        <is>
          <t>H</t>
        </is>
      </c>
      <c r="M360" s="9" t="inlineStr">
        <is>
          <t>CMD
TRN</t>
        </is>
      </c>
      <c r="N360" s="9" t="inlineStr">
        <is>
          <t>H</t>
        </is>
      </c>
      <c r="O360" s="9" t="inlineStr">
        <is>
          <t>CMD
TRN
#1
19:00-21:00</t>
        </is>
      </c>
      <c r="P360" s="9" t="inlineStr">
        <is>
          <t>H</t>
        </is>
      </c>
      <c r="Q360" s="9" t="inlineStr">
        <is>
          <t>809
CMD TRN</t>
        </is>
      </c>
      <c r="R360" s="9" t="inlineStr">
        <is>
          <t>802
CMD TRN</t>
        </is>
      </c>
      <c r="S360" s="9" t="inlineStr">
        <is>
          <t>CMD
TRN</t>
        </is>
      </c>
      <c r="T360" s="9" t="inlineStr">
        <is>
          <t>RCBT
CBT1 TRN
GS
GS-C TRN
DIT
DIT TRN</t>
        </is>
      </c>
      <c r="U360" s="9" t="inlineStr">
        <is>
          <t>H</t>
        </is>
      </c>
      <c r="V360" s="9" t="inlineStr">
        <is>
          <t>H</t>
        </is>
      </c>
      <c r="W360" s="9" t="inlineStr">
        <is>
          <t>95
CMD TRN</t>
        </is>
      </c>
      <c r="X360" s="9" t="inlineStr">
        <is>
          <t>---</t>
        </is>
      </c>
      <c r="Y360" s="9" t="inlineStr">
        <is>
          <t>90
CMD TRN
225DH</t>
        </is>
      </c>
      <c r="Z360" s="9" t="inlineStr">
        <is>
          <t>891
CMD TRN
894
CMD TRN
134DH</t>
        </is>
      </c>
      <c r="AA360" s="9" t="inlineStr">
        <is>
          <t>VAC</t>
        </is>
      </c>
      <c r="AB360" s="9" t="inlineStr">
        <is>
          <t>HH</t>
        </is>
      </c>
      <c r="AC360" s="9" t="inlineStr">
        <is>
          <t>HH</t>
        </is>
      </c>
      <c r="AD360" s="9" t="inlineStr">
        <is>
          <t>305
CMD TRN
308
CMD TRN
515
CMD TRN</t>
        </is>
      </c>
      <c r="AE360" s="9" t="inlineStr">
        <is>
          <t>514
CMD TRN
329
CMD TRN
332
CMD TRN</t>
        </is>
      </c>
      <c r="AF360" s="9" t="inlineStr">
        <is>
          <t>H</t>
        </is>
      </c>
      <c r="AG360" s="9" t="inlineStr">
        <is>
          <t>H</t>
        </is>
      </c>
      <c r="AH360" s="9" t="inlineStr">
        <is>
          <t>29
QPR_ TRN</t>
        </is>
      </c>
      <c r="AI360" s="9" t="inlineStr">
        <is>
          <t>736</t>
        </is>
      </c>
      <c r="AJ360" s="9" t="inlineStr">
        <is>
          <t>R</t>
        </is>
      </c>
    </row>
    <row r="361">
      <c r="A361" s="1" t="inlineStr">
        <is>
          <t>43856-4</t>
        </is>
      </c>
      <c r="B361" s="1" t="inlineStr">
        <is>
          <t>KIMURA SG</t>
        </is>
      </c>
      <c r="C361" s="1" t="inlineStr"/>
      <c r="D361" s="1" t="inlineStr"/>
      <c r="E361" s="1" t="n"/>
      <c r="F361" s="9" t="inlineStr"/>
      <c r="G361" s="9" t="inlineStr"/>
      <c r="H361" s="9">
        <f>HYPERLINK("#Schedule!F53", "I新野 TO (41373)")</f>
        <v/>
      </c>
      <c r="I361" s="9" t="inlineStr"/>
      <c r="J361" s="9" t="inlineStr"/>
      <c r="K361" s="9" t="inlineStr"/>
      <c r="L361" s="9" t="inlineStr"/>
      <c r="M361" s="9" t="inlineStr"/>
      <c r="N361" s="9" t="inlineStr"/>
      <c r="O361" s="9">
        <f>HYPERLINK("#Schedule!F10", "I佐々木MA (45028)")</f>
        <v/>
      </c>
      <c r="P361" s="9" t="inlineStr"/>
      <c r="Q361" s="9">
        <f>HYPERLINK("#Schedule!F64", "儀同 TO (43998)")</f>
        <v/>
      </c>
      <c r="R361" s="9">
        <f>HYPERLINK("#Schedule!F64", "儀同 TO (43998)")</f>
        <v/>
      </c>
      <c r="S361" s="9" t="inlineStr"/>
      <c r="T361" s="9" t="inlineStr"/>
      <c r="U361" s="9" t="inlineStr"/>
      <c r="V361" s="9" t="inlineStr"/>
      <c r="W361" s="9">
        <f>HYPERLINK("#Schedule!F234", "富川 MA (67428)")</f>
        <v/>
      </c>
      <c r="X361" s="9" t="inlineStr"/>
      <c r="Y361" s="9">
        <f>HYPERLINK("#Schedule!F234", "富川 MA (67428)")</f>
        <v/>
      </c>
      <c r="Z361" s="9">
        <f>HYPERLINK("#Schedule!F234", "富川 MA (67428)")</f>
        <v/>
      </c>
      <c r="AA361" s="9" t="inlineStr"/>
      <c r="AB361" s="9" t="inlineStr"/>
      <c r="AC361" s="9" t="inlineStr"/>
      <c r="AD361" s="9">
        <f>HYPERLINK("#Schedule!F217", "上垣 NO (44871)")</f>
        <v/>
      </c>
      <c r="AE361" s="9">
        <f>HYPERLINK("#Schedule!F217", "上垣 NO (44871)")</f>
        <v/>
      </c>
      <c r="AF361" s="9" t="inlineStr"/>
      <c r="AG361" s="9" t="inlineStr"/>
      <c r="AH361" s="9" t="inlineStr"/>
      <c r="AI361" s="9" t="inlineStr"/>
      <c r="AJ361" s="9" t="inlineStr"/>
    </row>
    <row r="362">
      <c r="A362" s="1" t="inlineStr">
        <is>
          <t>51873-1</t>
        </is>
      </c>
      <c r="B362" s="1" t="inlineStr">
        <is>
          <t>ITO HH</t>
        </is>
      </c>
      <c r="C362" s="1" t="inlineStr"/>
      <c r="D362" s="1" t="inlineStr"/>
      <c r="E362" s="1" t="n">
        <v>219</v>
      </c>
      <c r="F362" s="4" t="inlineStr">
        <is>
          <t>ITOHH</t>
        </is>
      </c>
      <c r="G362" s="4" t="inlineStr">
        <is>
          <t>HH</t>
        </is>
      </c>
      <c r="H362" s="4" t="inlineStr">
        <is>
          <t>機種：</t>
        </is>
      </c>
      <c r="I362" s="4" t="inlineStr">
        <is>
          <t>787</t>
        </is>
      </c>
      <c r="J362" s="4" t="inlineStr">
        <is>
          <t>ランク：</t>
        </is>
      </c>
      <c r="K362" s="4" t="inlineStr">
        <is>
          <t>FO</t>
        </is>
      </c>
      <c r="L362" s="4" t="inlineStr">
        <is>
          <t>期：</t>
        </is>
      </c>
      <c r="M362" s="4" t="inlineStr">
        <is>
          <t>219</t>
        </is>
      </c>
      <c r="N362" s="4" t="inlineStr">
        <is>
          <t>職番：</t>
        </is>
      </c>
      <c r="O362" s="4" t="inlineStr">
        <is>
          <t>00051873</t>
        </is>
      </c>
      <c r="P362" s="4" t="inlineStr">
        <is>
          <t>所属：</t>
        </is>
      </c>
      <c r="Q362" s="4" t="inlineStr">
        <is>
          <t>NWZNW</t>
        </is>
      </c>
      <c r="R362" s="4" t="inlineStr">
        <is>
          <t>CAT資：</t>
        </is>
      </c>
      <c r="S362" s="4" t="inlineStr">
        <is>
          <t>CAT3</t>
        </is>
      </c>
      <c r="T362" s="4" t="inlineStr">
        <is>
          <t>T/O：</t>
        </is>
      </c>
      <c r="U362" s="4" t="inlineStr">
        <is>
          <t>3T251009</t>
        </is>
      </c>
      <c r="V362" s="4" t="inlineStr">
        <is>
          <t>L/D：</t>
        </is>
      </c>
      <c r="W362" s="4" t="inlineStr">
        <is>
          <t>3L251010</t>
        </is>
      </c>
      <c r="X362" s="4" t="inlineStr">
        <is>
          <t>PE：</t>
        </is>
      </c>
      <c r="Y362" s="5" t="inlineStr">
        <is>
          <t>PE251027</t>
        </is>
      </c>
      <c r="Z362" s="4" t="inlineStr">
        <is>
          <t>誕生月：</t>
        </is>
      </c>
      <c r="AA362" s="4" t="inlineStr">
        <is>
          <t>11</t>
        </is>
      </c>
      <c r="AB362" s="6" t="inlineStr">
        <is>
          <t>電話：</t>
        </is>
      </c>
      <c r="AC362" s="6" t="inlineStr">
        <is>
          <t>090-7329-5127</t>
        </is>
      </c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</row>
    <row r="363">
      <c r="A363" s="1" t="inlineStr">
        <is>
          <t>51873-2</t>
        </is>
      </c>
      <c r="B363" s="1" t="inlineStr">
        <is>
          <t>ITO HH</t>
        </is>
      </c>
      <c r="C363" s="1" t="inlineStr"/>
      <c r="D363" s="1" t="inlineStr"/>
      <c r="E363" s="1" t="n">
        <v>219</v>
      </c>
      <c r="F363" s="15" t="inlineStr">
        <is>
          <t>01</t>
        </is>
      </c>
      <c r="G363" s="15" t="inlineStr">
        <is>
          <t>02</t>
        </is>
      </c>
      <c r="H363" s="7" t="inlineStr">
        <is>
          <t>03</t>
        </is>
      </c>
      <c r="I363" s="14" t="inlineStr">
        <is>
          <t>04</t>
        </is>
      </c>
      <c r="J363" s="7" t="inlineStr">
        <is>
          <t>05</t>
        </is>
      </c>
      <c r="K363" s="14" t="inlineStr">
        <is>
          <t>06</t>
        </is>
      </c>
      <c r="L363" s="7" t="inlineStr">
        <is>
          <t>07</t>
        </is>
      </c>
      <c r="M363" s="15" t="inlineStr">
        <is>
          <t>08</t>
        </is>
      </c>
      <c r="N363" s="15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12" t="inlineStr">
        <is>
          <t>12</t>
        </is>
      </c>
      <c r="R363" s="12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7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7" t="inlineStr">
        <is>
          <t>19</t>
        </is>
      </c>
      <c r="Y363" s="15" t="inlineStr">
        <is>
          <t>20</t>
        </is>
      </c>
      <c r="Z363" s="7" t="inlineStr">
        <is>
          <t>21</t>
        </is>
      </c>
      <c r="AA363" s="15" t="inlineStr">
        <is>
          <t>22</t>
        </is>
      </c>
      <c r="AB363" s="7" t="inlineStr">
        <is>
          <t>23</t>
        </is>
      </c>
      <c r="AC363" s="14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8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8" t="inlineStr">
        <is>
          <t>30</t>
        </is>
      </c>
      <c r="AJ363" s="8" t="inlineStr">
        <is>
          <t>31</t>
        </is>
      </c>
    </row>
    <row r="364">
      <c r="A364" s="1" t="inlineStr">
        <is>
          <t>51873-3</t>
        </is>
      </c>
      <c r="B364" s="1" t="inlineStr">
        <is>
          <t>ITO HH</t>
        </is>
      </c>
      <c r="C364" s="1" t="inlineStr"/>
      <c r="D364" s="1" t="inlineStr"/>
      <c r="E364" s="1" t="n">
        <v>219</v>
      </c>
      <c r="F364" s="9" t="inlineStr">
        <is>
          <t>505
LEF TRN
506
LEF TRN
517
LEF TRN</t>
        </is>
      </c>
      <c r="G364" s="9" t="inlineStr">
        <is>
          <t>516
LEF TRN</t>
        </is>
      </c>
      <c r="H364" s="9" t="inlineStr">
        <is>
          <t>H</t>
        </is>
      </c>
      <c r="I364" s="9" t="inlineStr">
        <is>
          <t>PH3
TRN</t>
        </is>
      </c>
      <c r="J364" s="9" t="inlineStr">
        <is>
          <t>VAC</t>
        </is>
      </c>
      <c r="K364" s="9" t="inlineStr">
        <is>
          <t>PH3
TRN
#1
21:00-23:00</t>
        </is>
      </c>
      <c r="L364" s="9" t="inlineStr">
        <is>
          <t>VAC</t>
        </is>
      </c>
      <c r="M364" s="9" t="inlineStr">
        <is>
          <t>139
LEF TRN</t>
        </is>
      </c>
      <c r="N364" s="9" t="inlineStr">
        <is>
          <t>124
LEF TRN
133
138</t>
        </is>
      </c>
      <c r="O364" s="9" t="inlineStr">
        <is>
          <t>H</t>
        </is>
      </c>
      <c r="P364" s="9" t="inlineStr">
        <is>
          <t>H</t>
        </is>
      </c>
      <c r="Q364" s="9" t="inlineStr">
        <is>
          <t>M11
TRN
#2
14:00-15:00</t>
        </is>
      </c>
      <c r="R364" s="9" t="inlineStr">
        <is>
          <t>M12
TRN
#1
15:00-19:00</t>
        </is>
      </c>
      <c r="S364" s="9" t="inlineStr">
        <is>
          <t>18</t>
        </is>
      </c>
      <c r="T364" s="9" t="inlineStr">
        <is>
          <t>---</t>
        </is>
      </c>
      <c r="U364" s="9" t="inlineStr">
        <is>
          <t>17</t>
        </is>
      </c>
      <c r="V364" s="9" t="inlineStr">
        <is>
          <t>*H</t>
        </is>
      </c>
      <c r="W364" s="9" t="inlineStr">
        <is>
          <t>HH</t>
        </is>
      </c>
      <c r="X364" s="9" t="inlineStr">
        <is>
          <t>HH</t>
        </is>
      </c>
      <c r="Y364" s="9" t="inlineStr">
        <is>
          <t>37
LEF TRN</t>
        </is>
      </c>
      <c r="Z364" s="9" t="inlineStr">
        <is>
          <t>---</t>
        </is>
      </c>
      <c r="AA364" s="9" t="inlineStr">
        <is>
          <t>36
LEF TRN</t>
        </is>
      </c>
      <c r="AB364" s="9" t="inlineStr">
        <is>
          <t>H</t>
        </is>
      </c>
      <c r="AC364" s="9" t="inlineStr">
        <is>
          <t>PH3
TRN
#2
17:00-21:00</t>
        </is>
      </c>
      <c r="AD364" s="9" t="inlineStr">
        <is>
          <t>H</t>
        </is>
      </c>
      <c r="AE364" s="9" t="inlineStr">
        <is>
          <t>H</t>
        </is>
      </c>
      <c r="AF364" s="9" t="inlineStr">
        <is>
          <t>119
VLDE TRN
124
VLDE TRN
139
VLDE TRN</t>
        </is>
      </c>
      <c r="AG364" s="9" t="inlineStr">
        <is>
          <t>116
VLDE TRN
125
VLDE TRN
128
VLDE TRN</t>
        </is>
      </c>
      <c r="AH364" s="9" t="inlineStr">
        <is>
          <t>H</t>
        </is>
      </c>
      <c r="AI364" s="9" t="inlineStr">
        <is>
          <t>735
VLDE TRN</t>
        </is>
      </c>
      <c r="AJ364" s="9" t="inlineStr">
        <is>
          <t>26
VLDE TRN</t>
        </is>
      </c>
    </row>
    <row r="365">
      <c r="A365" s="1" t="inlineStr">
        <is>
          <t>51873-4</t>
        </is>
      </c>
      <c r="B365" s="1" t="inlineStr">
        <is>
          <t>ITO HH</t>
        </is>
      </c>
      <c r="C365" s="1" t="inlineStr"/>
      <c r="D365" s="1" t="inlineStr"/>
      <c r="E365" s="1" t="n"/>
      <c r="F365" s="9" t="inlineStr"/>
      <c r="G365" s="9" t="inlineStr"/>
      <c r="H365" s="9" t="inlineStr"/>
      <c r="I365" s="9" t="inlineStr"/>
      <c r="J365" s="9" t="inlineStr"/>
      <c r="K365" s="9" t="inlineStr">
        <is>
          <t>I栗山 MA</t>
        </is>
      </c>
      <c r="L365" s="9" t="inlineStr"/>
      <c r="M365" s="9" t="inlineStr"/>
      <c r="N365" s="9" t="inlineStr"/>
      <c r="O365" s="9" t="inlineStr"/>
      <c r="P365" s="9" t="inlineStr"/>
      <c r="Q365" s="9" t="inlineStr"/>
      <c r="R365" s="9" t="inlineStr">
        <is>
          <t>I望月 YO</t>
        </is>
      </c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>
        <f>HYPERLINK("#Schedule!F6", "I中村 YC (41665)")</f>
        <v/>
      </c>
      <c r="AD365" s="9" t="inlineStr"/>
      <c r="AE365" s="9" t="inlineStr"/>
      <c r="AF365" s="9">
        <f>HYPERLINK("#Schedule!F81", "北村 YA (37755)")</f>
        <v/>
      </c>
      <c r="AG365" s="9">
        <f>HYPERLINK("#Schedule!F81", "北村 YA (37755)")</f>
        <v/>
      </c>
      <c r="AH365" s="9" t="inlineStr"/>
      <c r="AI365" s="9">
        <f>HYPERLINK("#Schedule!F41", "加藤 TK (36749)")</f>
        <v/>
      </c>
      <c r="AJ365" s="9">
        <f>HYPERLINK("#Schedule!F41", "加藤 TK (36749)")</f>
        <v/>
      </c>
    </row>
    <row r="366">
      <c r="A366" s="1" t="inlineStr">
        <is>
          <t>53822-1</t>
        </is>
      </c>
      <c r="B366" s="1" t="inlineStr">
        <is>
          <t>OJIMA HI</t>
        </is>
      </c>
      <c r="C366" s="1" t="inlineStr"/>
      <c r="D366" s="1" t="inlineStr"/>
      <c r="E366" s="1" t="n">
        <v>208</v>
      </c>
      <c r="F366" s="4" t="inlineStr">
        <is>
          <t>OJIMAHI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787</t>
        </is>
      </c>
      <c r="J366" s="4" t="inlineStr">
        <is>
          <t>ランク：</t>
        </is>
      </c>
      <c r="K366" s="4" t="inlineStr">
        <is>
          <t>FO</t>
        </is>
      </c>
      <c r="L366" s="4" t="inlineStr">
        <is>
          <t>期：</t>
        </is>
      </c>
      <c r="M366" s="4" t="inlineStr">
        <is>
          <t>208</t>
        </is>
      </c>
      <c r="N366" s="4" t="inlineStr">
        <is>
          <t>職番：</t>
        </is>
      </c>
      <c r="O366" s="4" t="inlineStr">
        <is>
          <t>00053822</t>
        </is>
      </c>
      <c r="P366" s="4" t="inlineStr">
        <is>
          <t>所属：</t>
        </is>
      </c>
      <c r="Q366" s="4" t="inlineStr">
        <is>
          <t>NWZNW</t>
        </is>
      </c>
      <c r="R366" s="4" t="inlineStr">
        <is>
          <t>CAT資：</t>
        </is>
      </c>
      <c r="S366" s="4" t="inlineStr">
        <is>
          <t>CAT3</t>
        </is>
      </c>
      <c r="T366" s="4" t="inlineStr">
        <is>
          <t>T/O：</t>
        </is>
      </c>
      <c r="U366" s="4" t="inlineStr">
        <is>
          <t>3T251007</t>
        </is>
      </c>
      <c r="V366" s="4" t="inlineStr">
        <is>
          <t>L/D：</t>
        </is>
      </c>
      <c r="W366" s="4" t="inlineStr">
        <is>
          <t>3L251008</t>
        </is>
      </c>
      <c r="X366" s="4" t="inlineStr">
        <is>
          <t>PE：</t>
        </is>
      </c>
      <c r="Y366" s="5" t="inlineStr">
        <is>
          <t>PE260414</t>
        </is>
      </c>
      <c r="Z366" s="4" t="inlineStr">
        <is>
          <t>誕生月：</t>
        </is>
      </c>
      <c r="AA366" s="4" t="inlineStr">
        <is>
          <t>12</t>
        </is>
      </c>
      <c r="AB366" s="6" t="inlineStr">
        <is>
          <t>電話：</t>
        </is>
      </c>
      <c r="AC366" s="6" t="inlineStr">
        <is>
          <t>090-2499-0043</t>
        </is>
      </c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</row>
    <row r="367">
      <c r="A367" s="1" t="inlineStr">
        <is>
          <t>53822-2</t>
        </is>
      </c>
      <c r="B367" s="1" t="inlineStr">
        <is>
          <t>OJIMA HI</t>
        </is>
      </c>
      <c r="C367" s="1" t="inlineStr"/>
      <c r="D367" s="1" t="inlineStr"/>
      <c r="E367" s="1" t="n">
        <v>208</v>
      </c>
      <c r="F367" s="7" t="inlineStr">
        <is>
          <t>01</t>
        </is>
      </c>
      <c r="G367" s="8" t="inlineStr">
        <is>
          <t>02</t>
        </is>
      </c>
      <c r="H367" s="8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8" t="inlineStr">
        <is>
          <t>07</t>
        </is>
      </c>
      <c r="M367" s="8" t="inlineStr">
        <is>
          <t>08</t>
        </is>
      </c>
      <c r="N367" s="7" t="inlineStr">
        <is>
          <t>09</t>
        </is>
      </c>
      <c r="O367" s="8" t="inlineStr">
        <is>
          <t>10</t>
        </is>
      </c>
      <c r="P367" s="7" t="inlineStr">
        <is>
          <t>11</t>
        </is>
      </c>
      <c r="Q367" s="8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8" t="inlineStr">
        <is>
          <t>16</t>
        </is>
      </c>
      <c r="V367" s="8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13" t="inlineStr">
        <is>
          <t>22</t>
        </is>
      </c>
      <c r="AB367" s="7" t="inlineStr">
        <is>
          <t>23</t>
        </is>
      </c>
      <c r="AC367" s="14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7" t="inlineStr">
        <is>
          <t>28</t>
        </is>
      </c>
      <c r="AH367" s="7" t="inlineStr">
        <is>
          <t>29</t>
        </is>
      </c>
      <c r="AI367" s="7" t="inlineStr">
        <is>
          <t>30</t>
        </is>
      </c>
      <c r="AJ367" s="7" t="inlineStr">
        <is>
          <t>31</t>
        </is>
      </c>
    </row>
    <row r="368">
      <c r="A368" s="1" t="inlineStr">
        <is>
          <t>53822-3</t>
        </is>
      </c>
      <c r="B368" s="1" t="inlineStr">
        <is>
          <t>OJIMA HI</t>
        </is>
      </c>
      <c r="C368" s="1" t="inlineStr"/>
      <c r="D368" s="1" t="inlineStr"/>
      <c r="E368" s="1" t="n">
        <v>208</v>
      </c>
      <c r="F368" s="9" t="inlineStr">
        <is>
          <t>HH</t>
        </is>
      </c>
      <c r="G368" s="9" t="inlineStr">
        <is>
          <t>305
VLDP TRN
308
VLDP TRN
515
VLDP TRN</t>
        </is>
      </c>
      <c r="H368" s="9" t="inlineStr">
        <is>
          <t>514
VLDP TRN
329
VLDP TRN
332
VLDP TRN</t>
        </is>
      </c>
      <c r="I368" s="9" t="inlineStr">
        <is>
          <t>H</t>
        </is>
      </c>
      <c r="J368" s="9" t="inlineStr">
        <is>
          <t>CMD
TRN
#2
15:00-19:00</t>
        </is>
      </c>
      <c r="K368" s="9" t="inlineStr">
        <is>
          <t>H</t>
        </is>
      </c>
      <c r="L368" s="9" t="inlineStr">
        <is>
          <t>119
VLDP TRN
124
VLDP TRN
133DH</t>
        </is>
      </c>
      <c r="M368" s="9" t="inlineStr">
        <is>
          <t>116
VLDP TRN
125
VLDP TRN
128
VLDP TRN</t>
        </is>
      </c>
      <c r="N368" s="9" t="inlineStr">
        <is>
          <t>H</t>
        </is>
      </c>
      <c r="O368" s="9" t="inlineStr">
        <is>
          <t>74
VLDP TRN</t>
        </is>
      </c>
      <c r="P368" s="9" t="inlineStr">
        <is>
          <t>---</t>
        </is>
      </c>
      <c r="Q368" s="9" t="inlineStr">
        <is>
          <t>73
VLDP TRN</t>
        </is>
      </c>
      <c r="R368" s="9" t="inlineStr">
        <is>
          <t>H</t>
        </is>
      </c>
      <c r="S368" s="9" t="inlineStr">
        <is>
          <t>H</t>
        </is>
      </c>
      <c r="T368" s="9" t="inlineStr">
        <is>
          <t>221DH</t>
        </is>
      </c>
      <c r="U368" s="9" t="inlineStr">
        <is>
          <t>727
VLDP TRN</t>
        </is>
      </c>
      <c r="V368" s="9" t="inlineStr">
        <is>
          <t>708
VLDP TRN</t>
        </is>
      </c>
      <c r="W368" s="9" t="inlineStr">
        <is>
          <t>H</t>
        </is>
      </c>
      <c r="X368" s="9" t="inlineStr">
        <is>
          <t>CMD
TRN</t>
        </is>
      </c>
      <c r="Y368" s="9" t="inlineStr">
        <is>
          <t>H</t>
        </is>
      </c>
      <c r="Z368" s="9" t="inlineStr">
        <is>
          <t>H</t>
        </is>
      </c>
      <c r="AA368" s="9" t="inlineStr">
        <is>
          <t>EDU
PH TRN</t>
        </is>
      </c>
      <c r="AB368" s="9" t="inlineStr">
        <is>
          <t>VAC</t>
        </is>
      </c>
      <c r="AC368" s="9" t="inlineStr">
        <is>
          <t>PH3
TRN</t>
        </is>
      </c>
      <c r="AD368" s="9" t="inlineStr">
        <is>
          <t>H*</t>
        </is>
      </c>
      <c r="AE368" s="9" t="inlineStr">
        <is>
          <t>R</t>
        </is>
      </c>
      <c r="AF368" s="9" t="inlineStr">
        <is>
          <t>725</t>
        </is>
      </c>
      <c r="AG368" s="9" t="inlineStr">
        <is>
          <t>---</t>
        </is>
      </c>
      <c r="AH368" s="9" t="inlineStr">
        <is>
          <t>726</t>
        </is>
      </c>
      <c r="AI368" s="9" t="inlineStr">
        <is>
          <t>HH</t>
        </is>
      </c>
      <c r="AJ368" s="9" t="inlineStr">
        <is>
          <t>97
98</t>
        </is>
      </c>
    </row>
    <row r="369">
      <c r="A369" s="1" t="inlineStr">
        <is>
          <t>53822-4</t>
        </is>
      </c>
      <c r="B369" s="1" t="inlineStr">
        <is>
          <t>OJIMA HI</t>
        </is>
      </c>
      <c r="C369" s="1" t="inlineStr"/>
      <c r="D369" s="1" t="inlineStr"/>
      <c r="E369" s="1" t="n"/>
      <c r="F369" s="9" t="inlineStr"/>
      <c r="G369" s="9">
        <f>HYPERLINK("#Schedule!F2", "原田 YU (41171)")</f>
        <v/>
      </c>
      <c r="H369" s="9">
        <f>HYPERLINK("#Schedule!F2", "原田 YU (41171)")</f>
        <v/>
      </c>
      <c r="I369" s="9" t="inlineStr"/>
      <c r="J369" s="9">
        <f>HYPERLINK("#Schedule!F138", "I安藤 YU (37725)")</f>
        <v/>
      </c>
      <c r="K369" s="9" t="inlineStr"/>
      <c r="L369" s="9">
        <f>HYPERLINK("#Schedule!F147", "吉村MA (39670)")</f>
        <v/>
      </c>
      <c r="M369" s="9">
        <f>HYPERLINK("#Schedule!F147", "吉村MA (39670)")</f>
        <v/>
      </c>
      <c r="N369" s="9" t="inlineStr"/>
      <c r="O369" s="9">
        <f>HYPERLINK("#Schedule!F58", "市川 TO (41467)")</f>
        <v/>
      </c>
      <c r="P369" s="9" t="inlineStr"/>
      <c r="Q369" s="9">
        <f>HYPERLINK("#Schedule!F58", "市川 TO (41467)")</f>
        <v/>
      </c>
      <c r="R369" s="9" t="inlineStr"/>
      <c r="S369" s="9" t="inlineStr"/>
      <c r="T369" s="9">
        <f>HYPERLINK("#Schedule!F58", "市川 TO (41467)")</f>
        <v/>
      </c>
      <c r="U369" s="9">
        <f>HYPERLINK("#Schedule!F58", "市川 TO (41467)")</f>
        <v/>
      </c>
      <c r="V369" s="9">
        <f>HYPERLINK("#Schedule!F58", "市川 TO (41467)")</f>
        <v/>
      </c>
      <c r="W369" s="9" t="inlineStr"/>
      <c r="X369" s="9" t="inlineStr"/>
      <c r="Y369" s="9" t="inlineStr"/>
      <c r="Z369" s="9" t="inlineStr"/>
      <c r="AA369" s="9" t="inlineStr"/>
      <c r="AB369" s="9" t="inlineStr"/>
      <c r="AC369" s="9" t="inlineStr"/>
      <c r="AD369" s="9" t="inlineStr"/>
      <c r="AE369" s="9" t="inlineStr"/>
      <c r="AF369" s="9" t="inlineStr"/>
      <c r="AG369" s="9" t="inlineStr"/>
      <c r="AH369" s="9" t="inlineStr"/>
      <c r="AI369" s="9" t="inlineStr"/>
      <c r="AJ369" s="9">
        <f>HYPERLINK("#Schedule!F37", "細川 SH (37746)")</f>
        <v/>
      </c>
    </row>
    <row r="370">
      <c r="A370" s="1" t="inlineStr">
        <is>
          <t>53785-1</t>
        </is>
      </c>
      <c r="B370" s="1" t="inlineStr">
        <is>
          <t>YAGIHASHI MS</t>
        </is>
      </c>
      <c r="C370" s="1" t="inlineStr"/>
      <c r="D370" s="1" t="inlineStr"/>
      <c r="E370" s="1" t="n">
        <v>133</v>
      </c>
      <c r="F370" s="4" t="inlineStr">
        <is>
          <t>YAGIHASHIMS</t>
        </is>
      </c>
      <c r="G370" s="4" t="inlineStr">
        <is>
          <t>MS</t>
        </is>
      </c>
      <c r="H370" s="4" t="inlineStr">
        <is>
          <t>機種：</t>
        </is>
      </c>
      <c r="I370" s="4" t="inlineStr">
        <is>
          <t>787</t>
        </is>
      </c>
      <c r="J370" s="4" t="inlineStr">
        <is>
          <t>ランク：</t>
        </is>
      </c>
      <c r="K370" s="4" t="inlineStr">
        <is>
          <t>FO</t>
        </is>
      </c>
      <c r="L370" s="4" t="inlineStr">
        <is>
          <t>期：</t>
        </is>
      </c>
      <c r="M370" s="4" t="inlineStr">
        <is>
          <t>133</t>
        </is>
      </c>
      <c r="N370" s="4" t="inlineStr">
        <is>
          <t>職番：</t>
        </is>
      </c>
      <c r="O370" s="4" t="inlineStr">
        <is>
          <t>00053785</t>
        </is>
      </c>
      <c r="P370" s="4" t="inlineStr">
        <is>
          <t>所属：</t>
        </is>
      </c>
      <c r="Q370" s="4" t="inlineStr">
        <is>
          <t>NWZNW</t>
        </is>
      </c>
      <c r="R370" s="4" t="inlineStr">
        <is>
          <t>CAT資：</t>
        </is>
      </c>
      <c r="S370" s="4" t="inlineStr">
        <is>
          <t>CAT3</t>
        </is>
      </c>
      <c r="T370" s="4" t="inlineStr">
        <is>
          <t>T/O：</t>
        </is>
      </c>
      <c r="U370" s="4" t="inlineStr">
        <is>
          <t>3T251003</t>
        </is>
      </c>
      <c r="V370" s="4" t="inlineStr">
        <is>
          <t>L/D：</t>
        </is>
      </c>
      <c r="W370" s="4" t="inlineStr">
        <is>
          <t>3L251003</t>
        </is>
      </c>
      <c r="X370" s="4" t="inlineStr">
        <is>
          <t>PE：</t>
        </is>
      </c>
      <c r="Y370" s="5" t="inlineStr">
        <is>
          <t>PE260110</t>
        </is>
      </c>
      <c r="Z370" s="4" t="inlineStr">
        <is>
          <t>誕生月：</t>
        </is>
      </c>
      <c r="AA370" s="4" t="inlineStr">
        <is>
          <t>09</t>
        </is>
      </c>
      <c r="AB370" s="6" t="inlineStr">
        <is>
          <t>電話：</t>
        </is>
      </c>
      <c r="AC370" s="6" t="inlineStr">
        <is>
          <t>080-3801-1847</t>
        </is>
      </c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</row>
    <row r="371">
      <c r="A371" s="1" t="inlineStr">
        <is>
          <t>53785-2</t>
        </is>
      </c>
      <c r="B371" s="1" t="inlineStr">
        <is>
          <t>YAGIHASHI MS</t>
        </is>
      </c>
      <c r="C371" s="1" t="inlineStr"/>
      <c r="D371" s="1" t="inlineStr"/>
      <c r="E371" s="1" t="n">
        <v>133</v>
      </c>
      <c r="F371" s="7" t="inlineStr">
        <is>
          <t>01</t>
        </is>
      </c>
      <c r="G371" s="7" t="inlineStr">
        <is>
          <t>02</t>
        </is>
      </c>
      <c r="H371" s="7" t="inlineStr">
        <is>
          <t>03</t>
        </is>
      </c>
      <c r="I371" s="7" t="inlineStr">
        <is>
          <t>04</t>
        </is>
      </c>
      <c r="J371" s="7" t="inlineStr">
        <is>
          <t>05</t>
        </is>
      </c>
      <c r="K371" s="7" t="inlineStr">
        <is>
          <t>06</t>
        </is>
      </c>
      <c r="L371" s="7" t="inlineStr">
        <is>
          <t>07</t>
        </is>
      </c>
      <c r="M371" s="7" t="inlineStr">
        <is>
          <t>08</t>
        </is>
      </c>
      <c r="N371" s="8" t="inlineStr">
        <is>
          <t>09</t>
        </is>
      </c>
      <c r="O371" s="7" t="inlineStr">
        <is>
          <t>10</t>
        </is>
      </c>
      <c r="P371" s="8" t="inlineStr">
        <is>
          <t>11</t>
        </is>
      </c>
      <c r="Q371" s="7" t="inlineStr">
        <is>
          <t>12</t>
        </is>
      </c>
      <c r="R371" s="7" t="inlineStr">
        <is>
          <t>13</t>
        </is>
      </c>
      <c r="S371" s="7" t="inlineStr">
        <is>
          <t>14</t>
        </is>
      </c>
      <c r="T371" s="8" t="inlineStr">
        <is>
          <t>15</t>
        </is>
      </c>
      <c r="U371" s="8" t="inlineStr">
        <is>
          <t>16</t>
        </is>
      </c>
      <c r="V371" s="7" t="inlineStr">
        <is>
          <t>17</t>
        </is>
      </c>
      <c r="W371" s="8" t="inlineStr">
        <is>
          <t>18</t>
        </is>
      </c>
      <c r="X371" s="8" t="inlineStr">
        <is>
          <t>19</t>
        </is>
      </c>
      <c r="Y371" s="7" t="inlineStr">
        <is>
          <t>20</t>
        </is>
      </c>
      <c r="Z371" s="7" t="inlineStr">
        <is>
          <t>21</t>
        </is>
      </c>
      <c r="AA371" s="8" t="inlineStr">
        <is>
          <t>22</t>
        </is>
      </c>
      <c r="AB371" s="7" t="inlineStr">
        <is>
          <t>23</t>
        </is>
      </c>
      <c r="AC371" s="8" t="inlineStr">
        <is>
          <t>24</t>
        </is>
      </c>
      <c r="AD371" s="7" t="inlineStr">
        <is>
          <t>25</t>
        </is>
      </c>
      <c r="AE371" s="7" t="inlineStr">
        <is>
          <t>26</t>
        </is>
      </c>
      <c r="AF371" s="8" t="inlineStr">
        <is>
          <t>27</t>
        </is>
      </c>
      <c r="AG371" s="7" t="inlineStr">
        <is>
          <t>28</t>
        </is>
      </c>
      <c r="AH371" s="7" t="inlineStr">
        <is>
          <t>29</t>
        </is>
      </c>
      <c r="AI371" s="7" t="inlineStr">
        <is>
          <t>30</t>
        </is>
      </c>
      <c r="AJ371" s="7" t="inlineStr">
        <is>
          <t>31</t>
        </is>
      </c>
    </row>
    <row r="372">
      <c r="A372" s="1" t="inlineStr">
        <is>
          <t>53785-3</t>
        </is>
      </c>
      <c r="B372" s="1" t="inlineStr">
        <is>
          <t>YAGIHASHI MS</t>
        </is>
      </c>
      <c r="C372" s="1" t="inlineStr"/>
      <c r="D372" s="1" t="inlineStr"/>
      <c r="E372" s="1" t="n">
        <v>133</v>
      </c>
      <c r="F372" s="9" t="inlineStr">
        <is>
          <t>VAC</t>
        </is>
      </c>
      <c r="G372" s="9" t="inlineStr">
        <is>
          <t>H</t>
        </is>
      </c>
      <c r="H372" s="9" t="inlineStr">
        <is>
          <t>H</t>
        </is>
      </c>
      <c r="I372" s="9" t="inlineStr">
        <is>
          <t>CMD
TRN
#2
19:00-21:00</t>
        </is>
      </c>
      <c r="J372" s="9" t="inlineStr">
        <is>
          <t>H/VAC</t>
        </is>
      </c>
      <c r="K372" s="9" t="inlineStr">
        <is>
          <t>CMD
TRN
#2
19:00-23:00</t>
        </is>
      </c>
      <c r="L372" s="9" t="inlineStr">
        <is>
          <t>HH</t>
        </is>
      </c>
      <c r="M372" s="9" t="inlineStr">
        <is>
          <t>CMD
TRN</t>
        </is>
      </c>
      <c r="N372" s="9" t="inlineStr">
        <is>
          <t>74
CMD TRN</t>
        </is>
      </c>
      <c r="O372" s="9" t="inlineStr">
        <is>
          <t>---</t>
        </is>
      </c>
      <c r="P372" s="9" t="inlineStr">
        <is>
          <t>793
CMD TRN
208DH</t>
        </is>
      </c>
      <c r="Q372" s="9" t="inlineStr">
        <is>
          <t>H/VAC</t>
        </is>
      </c>
      <c r="R372" s="9" t="inlineStr">
        <is>
          <t>HH</t>
        </is>
      </c>
      <c r="S372" s="9" t="inlineStr">
        <is>
          <t>CMD
TRN</t>
        </is>
      </c>
      <c r="T372" s="9" t="inlineStr">
        <is>
          <t>809
CMD TRN</t>
        </is>
      </c>
      <c r="U372" s="9" t="inlineStr">
        <is>
          <t>802
CMD TRN</t>
        </is>
      </c>
      <c r="V372" s="9" t="inlineStr">
        <is>
          <t>H</t>
        </is>
      </c>
      <c r="W372" s="9" t="inlineStr">
        <is>
          <t>305
CMD TRN
308
CMD TRN
515
CMD TRN</t>
        </is>
      </c>
      <c r="X372" s="9" t="inlineStr">
        <is>
          <t>514
CMD TRN
329
CMD TRN
332
CMD TRN</t>
        </is>
      </c>
      <c r="Y372" s="9" t="inlineStr">
        <is>
          <t>VAC</t>
        </is>
      </c>
      <c r="Z372" s="9" t="inlineStr">
        <is>
          <t>VAC</t>
        </is>
      </c>
      <c r="AA372" s="9" t="inlineStr">
        <is>
          <t>93
CMD TRN
94
CMD TRN</t>
        </is>
      </c>
      <c r="AB372" s="9" t="inlineStr">
        <is>
          <t>H/VAC</t>
        </is>
      </c>
      <c r="AC372" s="9" t="inlineStr">
        <is>
          <t>729
CMD TRN</t>
        </is>
      </c>
      <c r="AD372" s="9" t="inlineStr">
        <is>
          <t>---</t>
        </is>
      </c>
      <c r="AE372" s="9" t="inlineStr">
        <is>
          <t>---</t>
        </is>
      </c>
      <c r="AF372" s="9" t="inlineStr">
        <is>
          <t>720
CMD TRN</t>
        </is>
      </c>
      <c r="AG372" s="9" t="inlineStr">
        <is>
          <t>*H</t>
        </is>
      </c>
      <c r="AH372" s="9" t="inlineStr">
        <is>
          <t>H</t>
        </is>
      </c>
      <c r="AI372" s="9" t="inlineStr">
        <is>
          <t>25</t>
        </is>
      </c>
      <c r="AJ372" s="9" t="inlineStr">
        <is>
          <t>20</t>
        </is>
      </c>
    </row>
    <row r="373">
      <c r="A373" s="1" t="inlineStr">
        <is>
          <t>53785-4</t>
        </is>
      </c>
      <c r="B373" s="1" t="inlineStr">
        <is>
          <t>YAGIHASHI MS</t>
        </is>
      </c>
      <c r="C373" s="1" t="inlineStr"/>
      <c r="D373" s="1" t="inlineStr"/>
      <c r="E373" s="1" t="n"/>
      <c r="F373" s="9" t="inlineStr"/>
      <c r="G373" s="9" t="inlineStr"/>
      <c r="H373" s="9" t="inlineStr"/>
      <c r="I373" s="9">
        <f>HYPERLINK("#Schedule!F243", "I山崎 KE (37255)")</f>
        <v/>
      </c>
      <c r="J373" s="9" t="inlineStr"/>
      <c r="K373" s="9">
        <f>HYPERLINK("#Schedule!F165", "I伊藤 SE (49240)")</f>
        <v/>
      </c>
      <c r="L373" s="9" t="inlineStr"/>
      <c r="M373" s="9" t="inlineStr"/>
      <c r="N373" s="9">
        <f>HYPERLINK("#Schedule!F24", "青木 TO (67665)")</f>
        <v/>
      </c>
      <c r="O373" s="9" t="inlineStr"/>
      <c r="P373" s="9">
        <f>HYPERLINK("#Schedule!F24", "青木 TO (67665)")</f>
        <v/>
      </c>
      <c r="Q373" s="9" t="inlineStr"/>
      <c r="R373" s="9" t="inlineStr"/>
      <c r="S373" s="9" t="inlineStr"/>
      <c r="T373" s="9">
        <f>HYPERLINK("#Schedule!F41", "加藤 TK (36749)")</f>
        <v/>
      </c>
      <c r="U373" s="9">
        <f>HYPERLINK("#Schedule!F41", "加藤 TK (36749)")</f>
        <v/>
      </c>
      <c r="V373" s="9" t="inlineStr"/>
      <c r="W373" s="9">
        <f>HYPERLINK("#Schedule!F165", "伊藤 SE (49240)")</f>
        <v/>
      </c>
      <c r="X373" s="9">
        <f>HYPERLINK("#Schedule!F165", "伊藤 SE (49240)")</f>
        <v/>
      </c>
      <c r="Y373" s="9" t="inlineStr"/>
      <c r="Z373" s="9" t="inlineStr"/>
      <c r="AA373" s="9">
        <f>HYPERLINK("#Schedule!F195", "髙田 JO (38531)")</f>
        <v/>
      </c>
      <c r="AB373" s="9" t="inlineStr"/>
      <c r="AC373" s="9">
        <f>HYPERLINK("#Schedule!F28", "毛利 YO (67849)")</f>
        <v/>
      </c>
      <c r="AD373" s="9" t="inlineStr"/>
      <c r="AE373" s="9" t="inlineStr"/>
      <c r="AF373" s="9">
        <f>HYPERLINK("#Schedule!F28", "毛利 YO (67849)")</f>
        <v/>
      </c>
      <c r="AG373" s="9" t="inlineStr"/>
      <c r="AH373" s="9" t="inlineStr"/>
      <c r="AI373" s="9" t="inlineStr"/>
      <c r="AJ373" s="9" t="inlineStr"/>
    </row>
    <row r="374">
      <c r="A374" s="1" t="inlineStr">
        <is>
          <t>53882-1</t>
        </is>
      </c>
      <c r="B374" s="1" t="inlineStr">
        <is>
          <t>NAKAI TO</t>
        </is>
      </c>
      <c r="C374" s="1" t="inlineStr"/>
      <c r="D374" s="1" t="inlineStr"/>
      <c r="E374" s="1" t="n">
        <v>195</v>
      </c>
      <c r="F374" s="4" t="inlineStr">
        <is>
          <t>NAKAITO</t>
        </is>
      </c>
      <c r="G374" s="4" t="inlineStr">
        <is>
          <t>TO</t>
        </is>
      </c>
      <c r="H374" s="4" t="inlineStr">
        <is>
          <t>機種：</t>
        </is>
      </c>
      <c r="I374" s="4" t="inlineStr">
        <is>
          <t>787</t>
        </is>
      </c>
      <c r="J374" s="4" t="inlineStr">
        <is>
          <t>ランク：</t>
        </is>
      </c>
      <c r="K374" s="4" t="inlineStr">
        <is>
          <t>FO</t>
        </is>
      </c>
      <c r="L374" s="4" t="inlineStr">
        <is>
          <t>期：</t>
        </is>
      </c>
      <c r="M374" s="4" t="inlineStr">
        <is>
          <t>195</t>
        </is>
      </c>
      <c r="N374" s="4" t="inlineStr">
        <is>
          <t>職番：</t>
        </is>
      </c>
      <c r="O374" s="4" t="inlineStr">
        <is>
          <t>00053882</t>
        </is>
      </c>
      <c r="P374" s="4" t="inlineStr">
        <is>
          <t>所属：</t>
        </is>
      </c>
      <c r="Q374" s="4" t="inlineStr">
        <is>
          <t>NWZNW</t>
        </is>
      </c>
      <c r="R374" s="4" t="inlineStr">
        <is>
          <t>CAT資：</t>
        </is>
      </c>
      <c r="S374" s="4" t="inlineStr">
        <is>
          <t>CAT3</t>
        </is>
      </c>
      <c r="T374" s="4" t="inlineStr">
        <is>
          <t>T/O：</t>
        </is>
      </c>
      <c r="U374" s="4" t="inlineStr">
        <is>
          <t>3T251011</t>
        </is>
      </c>
      <c r="V374" s="4" t="inlineStr">
        <is>
          <t>L/D：</t>
        </is>
      </c>
      <c r="W374" s="4" t="inlineStr">
        <is>
          <t>3L251011</t>
        </is>
      </c>
      <c r="X374" s="4" t="inlineStr">
        <is>
          <t>PE：</t>
        </is>
      </c>
      <c r="Y374" s="5" t="inlineStr">
        <is>
          <t>PE260313</t>
        </is>
      </c>
      <c r="Z374" s="4" t="inlineStr">
        <is>
          <t>誕生月：</t>
        </is>
      </c>
      <c r="AA374" s="4" t="inlineStr">
        <is>
          <t>01</t>
        </is>
      </c>
      <c r="AB374" s="6" t="inlineStr">
        <is>
          <t>電話：</t>
        </is>
      </c>
      <c r="AC374" s="6" t="inlineStr">
        <is>
          <t>090-9121-7458</t>
        </is>
      </c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</row>
    <row r="375">
      <c r="A375" s="1" t="inlineStr">
        <is>
          <t>53882-2</t>
        </is>
      </c>
      <c r="B375" s="1" t="inlineStr">
        <is>
          <t>NAKAI TO</t>
        </is>
      </c>
      <c r="C375" s="1" t="inlineStr"/>
      <c r="D375" s="1" t="inlineStr"/>
      <c r="E375" s="1" t="n">
        <v>195</v>
      </c>
      <c r="F375" s="8" t="inlineStr">
        <is>
          <t>01</t>
        </is>
      </c>
      <c r="G375" s="7" t="inlineStr">
        <is>
          <t>02</t>
        </is>
      </c>
      <c r="H375" s="8" t="inlineStr">
        <is>
          <t>03</t>
        </is>
      </c>
      <c r="I375" s="7" t="inlineStr">
        <is>
          <t>04</t>
        </is>
      </c>
      <c r="J375" s="8" t="inlineStr">
        <is>
          <t>05</t>
        </is>
      </c>
      <c r="K375" s="7" t="inlineStr">
        <is>
          <t>06</t>
        </is>
      </c>
      <c r="L375" s="8" t="inlineStr">
        <is>
          <t>07</t>
        </is>
      </c>
      <c r="M375" s="7" t="inlineStr">
        <is>
          <t>08</t>
        </is>
      </c>
      <c r="N375" s="7" t="inlineStr">
        <is>
          <t>09</t>
        </is>
      </c>
      <c r="O375" s="8" t="inlineStr">
        <is>
          <t>10</t>
        </is>
      </c>
      <c r="P375" s="8" t="inlineStr">
        <is>
          <t>11</t>
        </is>
      </c>
      <c r="Q375" s="7" t="inlineStr">
        <is>
          <t>12</t>
        </is>
      </c>
      <c r="R375" s="7" t="inlineStr">
        <is>
          <t>13</t>
        </is>
      </c>
      <c r="S375" s="8" t="inlineStr">
        <is>
          <t>14</t>
        </is>
      </c>
      <c r="T375" s="8" t="inlineStr">
        <is>
          <t>15</t>
        </is>
      </c>
      <c r="U375" s="8" t="inlineStr">
        <is>
          <t>16</t>
        </is>
      </c>
      <c r="V375" s="7" t="inlineStr">
        <is>
          <t>17</t>
        </is>
      </c>
      <c r="W375" s="8" t="inlineStr">
        <is>
          <t>18</t>
        </is>
      </c>
      <c r="X375" s="7" t="inlineStr">
        <is>
          <t>19</t>
        </is>
      </c>
      <c r="Y375" s="7" t="inlineStr">
        <is>
          <t>20</t>
        </is>
      </c>
      <c r="Z375" s="7" t="inlineStr">
        <is>
          <t>21</t>
        </is>
      </c>
      <c r="AA375" s="7" t="inlineStr">
        <is>
          <t>22</t>
        </is>
      </c>
      <c r="AB375" s="7" t="inlineStr">
        <is>
          <t>23</t>
        </is>
      </c>
      <c r="AC375" s="7" t="inlineStr">
        <is>
          <t>24</t>
        </is>
      </c>
      <c r="AD375" s="8" t="inlineStr">
        <is>
          <t>25</t>
        </is>
      </c>
      <c r="AE375" s="7" t="inlineStr">
        <is>
          <t>26</t>
        </is>
      </c>
      <c r="AF375" s="8" t="inlineStr">
        <is>
          <t>27</t>
        </is>
      </c>
      <c r="AG375" s="7" t="inlineStr">
        <is>
          <t>28</t>
        </is>
      </c>
      <c r="AH375" s="7" t="inlineStr">
        <is>
          <t>29</t>
        </is>
      </c>
      <c r="AI375" s="8" t="inlineStr">
        <is>
          <t>30</t>
        </is>
      </c>
      <c r="AJ375" s="7" t="inlineStr">
        <is>
          <t>31</t>
        </is>
      </c>
    </row>
    <row r="376">
      <c r="A376" s="1" t="inlineStr">
        <is>
          <t>53882-3</t>
        </is>
      </c>
      <c r="B376" s="1" t="inlineStr">
        <is>
          <t>NAKAI TO</t>
        </is>
      </c>
      <c r="C376" s="1" t="inlineStr"/>
      <c r="D376" s="1" t="inlineStr"/>
      <c r="E376" s="1" t="n">
        <v>195</v>
      </c>
      <c r="F376" s="9" t="inlineStr">
        <is>
          <t>725
CAUG TRN</t>
        </is>
      </c>
      <c r="G376" s="9" t="inlineStr">
        <is>
          <t>---</t>
        </is>
      </c>
      <c r="H376" s="9" t="inlineStr">
        <is>
          <t>726
CAUG TRN</t>
        </is>
      </c>
      <c r="I376" s="9" t="inlineStr">
        <is>
          <t>*H</t>
        </is>
      </c>
      <c r="J376" s="9" t="inlineStr">
        <is>
          <t>8786
CAUG TRN</t>
        </is>
      </c>
      <c r="K376" s="9" t="inlineStr">
        <is>
          <t>---</t>
        </is>
      </c>
      <c r="L376" s="9" t="inlineStr">
        <is>
          <t>791
CAUG TRN
130DH</t>
        </is>
      </c>
      <c r="M376" s="9" t="inlineStr">
        <is>
          <t>*H</t>
        </is>
      </c>
      <c r="N376" s="9" t="inlineStr">
        <is>
          <t>*H</t>
        </is>
      </c>
      <c r="O376" s="9" t="inlineStr">
        <is>
          <t>505
CAUG TRN
506
CAUG TRN
517
CAUG TRN</t>
        </is>
      </c>
      <c r="P376" s="9" t="inlineStr">
        <is>
          <t>516
CAUG TRN
527
CAUG TRN
528
CAUG TRN</t>
        </is>
      </c>
      <c r="Q376" s="9" t="inlineStr">
        <is>
          <t>BLK</t>
        </is>
      </c>
      <c r="R376" s="9" t="inlineStr">
        <is>
          <t>H</t>
        </is>
      </c>
      <c r="S376" s="9" t="inlineStr">
        <is>
          <t>81
CAUG TRN
82
CAUG TRN</t>
        </is>
      </c>
      <c r="T376" s="9" t="inlineStr">
        <is>
          <t>99
CAUG TRN</t>
        </is>
      </c>
      <c r="U376" s="9" t="inlineStr">
        <is>
          <t>96
CAUG TRN</t>
        </is>
      </c>
      <c r="V376" s="9" t="inlineStr">
        <is>
          <t>H</t>
        </is>
      </c>
      <c r="W376" s="9" t="inlineStr">
        <is>
          <t>23
CAUG TRN
24
CAUG TRN</t>
        </is>
      </c>
      <c r="X376" s="9" t="inlineStr">
        <is>
          <t>BLK</t>
        </is>
      </c>
      <c r="Y376" s="9" t="inlineStr">
        <is>
          <t>H</t>
        </is>
      </c>
      <c r="Z376" s="9" t="inlineStr">
        <is>
          <t>H</t>
        </is>
      </c>
      <c r="AA376" s="9" t="inlineStr">
        <is>
          <t>VAC</t>
        </is>
      </c>
      <c r="AB376" s="9" t="inlineStr">
        <is>
          <t>HH</t>
        </is>
      </c>
      <c r="AC376" s="9" t="inlineStr">
        <is>
          <t>HH</t>
        </is>
      </c>
      <c r="AD376" s="9" t="inlineStr">
        <is>
          <t>33
CAUG TRN</t>
        </is>
      </c>
      <c r="AE376" s="9" t="inlineStr">
        <is>
          <t>---</t>
        </is>
      </c>
      <c r="AF376" s="9" t="inlineStr">
        <is>
          <t>32
CAUG TRN</t>
        </is>
      </c>
      <c r="AG376" s="9" t="inlineStr">
        <is>
          <t>VAC</t>
        </is>
      </c>
      <c r="AH376" s="9" t="inlineStr">
        <is>
          <t>H</t>
        </is>
      </c>
      <c r="AI376" s="9" t="inlineStr">
        <is>
          <t>93
CAUG TRN
94
CAUG TRN</t>
        </is>
      </c>
      <c r="AJ376" s="9" t="inlineStr">
        <is>
          <t>H/VAC</t>
        </is>
      </c>
    </row>
    <row r="377">
      <c r="A377" s="1" t="inlineStr">
        <is>
          <t>53882-4</t>
        </is>
      </c>
      <c r="B377" s="1" t="inlineStr">
        <is>
          <t>NAKAI TO</t>
        </is>
      </c>
      <c r="C377" s="1" t="inlineStr"/>
      <c r="D377" s="1" t="inlineStr"/>
      <c r="E377" s="1" t="n"/>
      <c r="F377" s="9">
        <f>HYPERLINK("#Schedule!F182", "髙瀨 MA (67264)")</f>
        <v/>
      </c>
      <c r="G377" s="9" t="inlineStr"/>
      <c r="H377" s="9">
        <f>HYPERLINK("#Schedule!F182", "髙瀨 MA (67264)")</f>
        <v/>
      </c>
      <c r="I377" s="9" t="inlineStr"/>
      <c r="J377" s="9">
        <f>HYPERLINK("#Schedule!F160", "岡本 KA (41662)")</f>
        <v/>
      </c>
      <c r="K377" s="9" t="inlineStr"/>
      <c r="L377" s="9">
        <f>HYPERLINK("#Schedule!F160", "岡本 KA (41662)")</f>
        <v/>
      </c>
      <c r="M377" s="9" t="inlineStr"/>
      <c r="N377" s="9" t="inlineStr"/>
      <c r="O377" s="9">
        <f>HYPERLINK("#Schedule!F248", "齊藤 SN (38561)")</f>
        <v/>
      </c>
      <c r="P377" s="9">
        <f>HYPERLINK("#Schedule!F248", "齊藤 SN (38561)")</f>
        <v/>
      </c>
      <c r="Q377" s="9" t="inlineStr"/>
      <c r="R377" s="9" t="inlineStr"/>
      <c r="S377" s="9">
        <f>HYPERLINK("#Schedule!F53", "新野 TO (41373)")</f>
        <v/>
      </c>
      <c r="T377" s="9">
        <f>HYPERLINK("#Schedule!F226", "横井 TO (49181)")</f>
        <v/>
      </c>
      <c r="U377" s="9">
        <f>HYPERLINK("#Schedule!F226", "横井 TO (49181)")</f>
        <v/>
      </c>
      <c r="V377" s="9" t="inlineStr"/>
      <c r="W377" s="9">
        <f>HYPERLINK("#Schedule!F86", "金澤 RY (38560)")</f>
        <v/>
      </c>
      <c r="X377" s="9" t="inlineStr"/>
      <c r="Y377" s="9" t="inlineStr"/>
      <c r="Z377" s="9" t="inlineStr"/>
      <c r="AA377" s="9" t="inlineStr"/>
      <c r="AB377" s="9" t="inlineStr"/>
      <c r="AC377" s="9" t="inlineStr"/>
      <c r="AD377" s="9">
        <f>HYPERLINK("#Schedule!F102", "下村 HI (41558)")</f>
        <v/>
      </c>
      <c r="AE377" s="9" t="inlineStr"/>
      <c r="AF377" s="9">
        <f>HYPERLINK("#Schedule!F102", "下村 HI (41558)")</f>
        <v/>
      </c>
      <c r="AG377" s="9" t="inlineStr"/>
      <c r="AH377" s="9" t="inlineStr"/>
      <c r="AI377" s="9">
        <f>HYPERLINK("#Schedule!F58", "市川 TO (41467)")</f>
        <v/>
      </c>
      <c r="AJ377" s="9" t="inlineStr"/>
    </row>
    <row r="378">
      <c r="A378" s="1" t="inlineStr">
        <is>
          <t>53882-5</t>
        </is>
      </c>
      <c r="B378" s="1" t="inlineStr">
        <is>
          <t>NAKAI TO</t>
        </is>
      </c>
      <c r="C378" s="1" t="inlineStr"/>
      <c r="D378" s="1" t="inlineStr"/>
      <c r="E378" s="1" t="n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  <c r="P378" s="9" t="inlineStr"/>
      <c r="Q378" s="9" t="inlineStr"/>
      <c r="R378" s="9" t="inlineStr"/>
      <c r="S378" s="9">
        <f>HYPERLINK("#Schedule!F299", "OZAWAKO (41266)")</f>
        <v/>
      </c>
      <c r="T378" s="9" t="inlineStr"/>
      <c r="U378" s="9" t="inlineStr"/>
      <c r="V378" s="9" t="inlineStr"/>
      <c r="W378" s="9" t="inlineStr"/>
      <c r="X378" s="9" t="inlineStr"/>
      <c r="Y378" s="9" t="inlineStr"/>
      <c r="Z378" s="9" t="inlineStr"/>
      <c r="AA378" s="9" t="inlineStr"/>
      <c r="AB378" s="9" t="inlineStr"/>
      <c r="AC378" s="9" t="inlineStr"/>
      <c r="AD378" s="9" t="inlineStr"/>
      <c r="AE378" s="9" t="inlineStr"/>
      <c r="AF378" s="9" t="inlineStr"/>
      <c r="AG378" s="9" t="inlineStr"/>
      <c r="AH378" s="9" t="inlineStr"/>
      <c r="AI378" s="9">
        <f>HYPERLINK("#Schedule!F392", "HAYASAKAMA (44520)")</f>
        <v/>
      </c>
      <c r="AJ378" s="9" t="inlineStr"/>
    </row>
    <row r="379">
      <c r="A379" s="1" t="inlineStr">
        <is>
          <t>50730-1</t>
        </is>
      </c>
      <c r="B379" s="1" t="inlineStr">
        <is>
          <t>SAKAKI MA</t>
        </is>
      </c>
      <c r="C379" s="1" t="inlineStr"/>
      <c r="D379" s="1" t="inlineStr"/>
      <c r="E379" s="1" t="n">
        <v>139</v>
      </c>
      <c r="F379" s="4" t="inlineStr">
        <is>
          <t>SAKAKIMA</t>
        </is>
      </c>
      <c r="G379" s="4" t="inlineStr">
        <is>
          <t>MA</t>
        </is>
      </c>
      <c r="H379" s="4" t="inlineStr">
        <is>
          <t>機種：</t>
        </is>
      </c>
      <c r="I379" s="4" t="inlineStr">
        <is>
          <t>787</t>
        </is>
      </c>
      <c r="J379" s="4" t="inlineStr">
        <is>
          <t>ランク：</t>
        </is>
      </c>
      <c r="K379" s="4" t="inlineStr">
        <is>
          <t>FO</t>
        </is>
      </c>
      <c r="L379" s="4" t="inlineStr">
        <is>
          <t>期：</t>
        </is>
      </c>
      <c r="M379" s="4" t="inlineStr">
        <is>
          <t>139</t>
        </is>
      </c>
      <c r="N379" s="4" t="inlineStr">
        <is>
          <t>職番：</t>
        </is>
      </c>
      <c r="O379" s="4" t="inlineStr">
        <is>
          <t>00050730</t>
        </is>
      </c>
      <c r="P379" s="4" t="inlineStr">
        <is>
          <t>所属：</t>
        </is>
      </c>
      <c r="Q379" s="4" t="inlineStr">
        <is>
          <t>NWZNW</t>
        </is>
      </c>
      <c r="R379" s="4" t="inlineStr">
        <is>
          <t>CAT資：</t>
        </is>
      </c>
      <c r="S379" s="4" t="inlineStr">
        <is>
          <t>CAT3</t>
        </is>
      </c>
      <c r="T379" s="4" t="inlineStr">
        <is>
          <t>T/O：</t>
        </is>
      </c>
      <c r="U379" s="4" t="inlineStr">
        <is>
          <t>3T251007</t>
        </is>
      </c>
      <c r="V379" s="4" t="inlineStr">
        <is>
          <t>L/D：</t>
        </is>
      </c>
      <c r="W379" s="4" t="inlineStr">
        <is>
          <t>3L251007</t>
        </is>
      </c>
      <c r="X379" s="4" t="inlineStr">
        <is>
          <t>PE：</t>
        </is>
      </c>
      <c r="Y379" s="5" t="inlineStr">
        <is>
          <t>PE260608</t>
        </is>
      </c>
      <c r="Z379" s="4" t="inlineStr">
        <is>
          <t>誕生月：</t>
        </is>
      </c>
      <c r="AA379" s="4" t="inlineStr">
        <is>
          <t>07</t>
        </is>
      </c>
      <c r="AB379" s="6" t="inlineStr">
        <is>
          <t>電話：</t>
        </is>
      </c>
      <c r="AC379" s="6" t="inlineStr">
        <is>
          <t>090-9006-4627</t>
        </is>
      </c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1" t="inlineStr">
        <is>
          <t>50730-2</t>
        </is>
      </c>
      <c r="B380" s="1" t="inlineStr">
        <is>
          <t>SAKAKI MA</t>
        </is>
      </c>
      <c r="C380" s="1" t="inlineStr"/>
      <c r="D380" s="1" t="inlineStr"/>
      <c r="E380" s="1" t="n">
        <v>139</v>
      </c>
      <c r="F380" s="7" t="inlineStr">
        <is>
          <t>01</t>
        </is>
      </c>
      <c r="G380" s="7" t="inlineStr">
        <is>
          <t>02</t>
        </is>
      </c>
      <c r="H380" s="7" t="inlineStr">
        <is>
          <t>03</t>
        </is>
      </c>
      <c r="I380" s="7" t="inlineStr">
        <is>
          <t>04</t>
        </is>
      </c>
      <c r="J380" s="7" t="inlineStr">
        <is>
          <t>05</t>
        </is>
      </c>
      <c r="K380" s="7" t="inlineStr">
        <is>
          <t>06</t>
        </is>
      </c>
      <c r="L380" s="7" t="inlineStr">
        <is>
          <t>07</t>
        </is>
      </c>
      <c r="M380" s="7" t="inlineStr">
        <is>
          <t>08</t>
        </is>
      </c>
      <c r="N380" s="7" t="inlineStr">
        <is>
          <t>09</t>
        </is>
      </c>
      <c r="O380" s="8" t="inlineStr">
        <is>
          <t>10</t>
        </is>
      </c>
      <c r="P380" s="8" t="inlineStr">
        <is>
          <t>11</t>
        </is>
      </c>
      <c r="Q380" s="7" t="inlineStr">
        <is>
          <t>12</t>
        </is>
      </c>
      <c r="R380" s="7" t="inlineStr">
        <is>
          <t>13</t>
        </is>
      </c>
      <c r="S380" s="7" t="inlineStr">
        <is>
          <t>14</t>
        </is>
      </c>
      <c r="T380" s="8" t="inlineStr">
        <is>
          <t>15</t>
        </is>
      </c>
      <c r="U380" s="7" t="inlineStr">
        <is>
          <t>16</t>
        </is>
      </c>
      <c r="V380" s="8" t="inlineStr">
        <is>
          <t>17</t>
        </is>
      </c>
      <c r="W380" s="7" t="inlineStr">
        <is>
          <t>18</t>
        </is>
      </c>
      <c r="X380" s="8" t="inlineStr">
        <is>
          <t>19</t>
        </is>
      </c>
      <c r="Y380" s="7" t="inlineStr">
        <is>
          <t>20</t>
        </is>
      </c>
      <c r="Z380" s="7" t="inlineStr">
        <is>
          <t>21</t>
        </is>
      </c>
      <c r="AA380" s="8" t="inlineStr">
        <is>
          <t>22</t>
        </is>
      </c>
      <c r="AB380" s="8" t="inlineStr">
        <is>
          <t>23</t>
        </is>
      </c>
      <c r="AC380" s="7" t="inlineStr">
        <is>
          <t>24</t>
        </is>
      </c>
      <c r="AD380" s="8" t="inlineStr">
        <is>
          <t>25</t>
        </is>
      </c>
      <c r="AE380" s="8" t="inlineStr">
        <is>
          <t>26</t>
        </is>
      </c>
      <c r="AF380" s="7" t="inlineStr">
        <is>
          <t>27</t>
        </is>
      </c>
      <c r="AG380" s="7" t="inlineStr">
        <is>
          <t>28</t>
        </is>
      </c>
      <c r="AH380" s="12" t="inlineStr">
        <is>
          <t>29</t>
        </is>
      </c>
      <c r="AI380" s="12" t="inlineStr">
        <is>
          <t>30</t>
        </is>
      </c>
      <c r="AJ380" s="7" t="inlineStr">
        <is>
          <t>31</t>
        </is>
      </c>
    </row>
    <row r="381">
      <c r="A381" s="1" t="inlineStr">
        <is>
          <t>50730-3</t>
        </is>
      </c>
      <c r="B381" s="1" t="inlineStr">
        <is>
          <t>SAKAKI MA</t>
        </is>
      </c>
      <c r="C381" s="1" t="inlineStr"/>
      <c r="D381" s="1" t="inlineStr"/>
      <c r="E381" s="1" t="n">
        <v>139</v>
      </c>
      <c r="F381" s="9" t="inlineStr">
        <is>
          <t>BLK</t>
        </is>
      </c>
      <c r="G381" s="9" t="inlineStr">
        <is>
          <t>H</t>
        </is>
      </c>
      <c r="H381" s="9" t="inlineStr">
        <is>
          <t>H</t>
        </is>
      </c>
      <c r="I381" s="9" t="inlineStr">
        <is>
          <t>CMD
TRN
#2
19:00-21:00</t>
        </is>
      </c>
      <c r="J381" s="9" t="inlineStr">
        <is>
          <t>H</t>
        </is>
      </c>
      <c r="K381" s="9" t="inlineStr">
        <is>
          <t>CMD
TRN
#2
19:00-23:00</t>
        </is>
      </c>
      <c r="L381" s="9" t="inlineStr">
        <is>
          <t>H</t>
        </is>
      </c>
      <c r="M381" s="9" t="inlineStr">
        <is>
          <t>CMD
TRN</t>
        </is>
      </c>
      <c r="N381" s="9" t="inlineStr">
        <is>
          <t>MIDNIT</t>
        </is>
      </c>
      <c r="O381" s="9" t="inlineStr">
        <is>
          <t>79
CMD TRN</t>
        </is>
      </c>
      <c r="P381" s="9" t="inlineStr">
        <is>
          <t>750
CMD TRN</t>
        </is>
      </c>
      <c r="Q381" s="9" t="inlineStr">
        <is>
          <t>H</t>
        </is>
      </c>
      <c r="R381" s="9" t="inlineStr">
        <is>
          <t>HH</t>
        </is>
      </c>
      <c r="S381" s="9" t="inlineStr">
        <is>
          <t>CMD
TRN</t>
        </is>
      </c>
      <c r="T381" s="9" t="inlineStr">
        <is>
          <t>725
CMD TRN</t>
        </is>
      </c>
      <c r="U381" s="9" t="inlineStr">
        <is>
          <t>---</t>
        </is>
      </c>
      <c r="V381" s="9" t="inlineStr">
        <is>
          <t>726
CMD TRN</t>
        </is>
      </c>
      <c r="W381" s="9" t="inlineStr">
        <is>
          <t>*H</t>
        </is>
      </c>
      <c r="X381" s="9" t="inlineStr">
        <is>
          <t>91
CMD TRN
92
CMD TRN</t>
        </is>
      </c>
      <c r="Y381" s="9" t="inlineStr">
        <is>
          <t>HH</t>
        </is>
      </c>
      <c r="Z381" s="9" t="inlineStr">
        <is>
          <t>VAC</t>
        </is>
      </c>
      <c r="AA381" s="9" t="inlineStr">
        <is>
          <t>119
CMD TRN
124
CMD TRN
139
CMD TRN</t>
        </is>
      </c>
      <c r="AB381" s="9" t="inlineStr">
        <is>
          <t>116
CMD TRN
125
CMD TRN
128
CMD TRN</t>
        </is>
      </c>
      <c r="AC381" s="9" t="inlineStr">
        <is>
          <t>H</t>
        </is>
      </c>
      <c r="AD381" s="9" t="inlineStr">
        <is>
          <t>735
CMD TRN</t>
        </is>
      </c>
      <c r="AE381" s="9" t="inlineStr">
        <is>
          <t>26
CMD TRN</t>
        </is>
      </c>
      <c r="AF381" s="9" t="inlineStr">
        <is>
          <t>H</t>
        </is>
      </c>
      <c r="AG381" s="9" t="inlineStr">
        <is>
          <t>H</t>
        </is>
      </c>
      <c r="AH381" s="9" t="inlineStr">
        <is>
          <t>M21
TRN
#2
05:00-09:00</t>
        </is>
      </c>
      <c r="AI381" s="9" t="inlineStr">
        <is>
          <t>M22
TRN
#2
19:00-23:00</t>
        </is>
      </c>
      <c r="AJ381" s="9" t="inlineStr">
        <is>
          <t>VAC</t>
        </is>
      </c>
    </row>
    <row r="382">
      <c r="A382" s="1" t="inlineStr">
        <is>
          <t>50730-4</t>
        </is>
      </c>
      <c r="B382" s="1" t="inlineStr">
        <is>
          <t>SAKAKI MA</t>
        </is>
      </c>
      <c r="C382" s="1" t="inlineStr"/>
      <c r="D382" s="1" t="inlineStr"/>
      <c r="E382" s="1" t="n"/>
      <c r="F382" s="9" t="inlineStr"/>
      <c r="G382" s="9" t="inlineStr"/>
      <c r="H382" s="9" t="inlineStr"/>
      <c r="I382" s="9">
        <f>HYPERLINK("#Schedule!F243", "I山崎 KE (37255)")</f>
        <v/>
      </c>
      <c r="J382" s="9" t="inlineStr"/>
      <c r="K382" s="9">
        <f>HYPERLINK("#Schedule!F165", "I伊藤 SE (49240)")</f>
        <v/>
      </c>
      <c r="L382" s="9" t="inlineStr"/>
      <c r="M382" s="9" t="inlineStr"/>
      <c r="N382" s="9" t="inlineStr"/>
      <c r="O382" s="9">
        <f>HYPERLINK("#Schedule!F260", "麻生 KA (41365)")</f>
        <v/>
      </c>
      <c r="P382" s="9">
        <f>HYPERLINK("#Schedule!F260", "麻生 KA (41365)")</f>
        <v/>
      </c>
      <c r="Q382" s="9" t="inlineStr"/>
      <c r="R382" s="9" t="inlineStr"/>
      <c r="S382" s="9" t="inlineStr"/>
      <c r="T382" s="9">
        <f>HYPERLINK("#Schedule!F64", "儀同 TO (43998)")</f>
        <v/>
      </c>
      <c r="U382" s="9" t="inlineStr"/>
      <c r="V382" s="9">
        <f>HYPERLINK("#Schedule!F64", "儀同 TO (43998)")</f>
        <v/>
      </c>
      <c r="W382" s="9" t="inlineStr"/>
      <c r="X382" s="9">
        <f>HYPERLINK("#Schedule!F199", "竹中 NI (38554)")</f>
        <v/>
      </c>
      <c r="Y382" s="9" t="inlineStr"/>
      <c r="Z382" s="9" t="inlineStr"/>
      <c r="AA382" s="9">
        <f>HYPERLINK("#Schedule!F98", "田中 HR (41476)")</f>
        <v/>
      </c>
      <c r="AB382" s="9">
        <f>HYPERLINK("#Schedule!F98", "田中 HR (41476)")</f>
        <v/>
      </c>
      <c r="AC382" s="9" t="inlineStr"/>
      <c r="AD382" s="9">
        <f>HYPERLINK("#Schedule!F2", "原田 YU (41171)")</f>
        <v/>
      </c>
      <c r="AE382" s="9">
        <f>HYPERLINK("#Schedule!F2", "原田 YU (41171)")</f>
        <v/>
      </c>
      <c r="AF382" s="9" t="inlineStr"/>
      <c r="AG382" s="9" t="inlineStr"/>
      <c r="AH382" s="9" t="inlineStr">
        <is>
          <t>I坂口 SH</t>
        </is>
      </c>
      <c r="AI382" s="9">
        <f>HYPERLINK("#Schedule!F199", "I竹中 NI (38554)")</f>
        <v/>
      </c>
      <c r="AJ382" s="9" t="inlineStr"/>
    </row>
    <row r="383">
      <c r="A383" s="1" t="inlineStr">
        <is>
          <t>53828-1</t>
        </is>
      </c>
      <c r="B383" s="1" t="inlineStr">
        <is>
          <t>SEKI YO</t>
        </is>
      </c>
      <c r="C383" s="1" t="inlineStr"/>
      <c r="D383" s="1" t="inlineStr"/>
      <c r="E383" s="1" t="n">
        <v>209</v>
      </c>
      <c r="F383" s="4" t="inlineStr">
        <is>
          <t>SEKIYO</t>
        </is>
      </c>
      <c r="G383" s="4" t="inlineStr">
        <is>
          <t>YO</t>
        </is>
      </c>
      <c r="H383" s="4" t="inlineStr">
        <is>
          <t>機種：</t>
        </is>
      </c>
      <c r="I383" s="4" t="inlineStr">
        <is>
          <t>787</t>
        </is>
      </c>
      <c r="J383" s="4" t="inlineStr">
        <is>
          <t>ランク：</t>
        </is>
      </c>
      <c r="K383" s="4" t="inlineStr">
        <is>
          <t>FO</t>
        </is>
      </c>
      <c r="L383" s="4" t="inlineStr">
        <is>
          <t>期：</t>
        </is>
      </c>
      <c r="M383" s="4" t="inlineStr">
        <is>
          <t>209</t>
        </is>
      </c>
      <c r="N383" s="4" t="inlineStr">
        <is>
          <t>職番：</t>
        </is>
      </c>
      <c r="O383" s="4" t="inlineStr">
        <is>
          <t>00053828</t>
        </is>
      </c>
      <c r="P383" s="4" t="inlineStr">
        <is>
          <t>所属：</t>
        </is>
      </c>
      <c r="Q383" s="4" t="inlineStr">
        <is>
          <t>NWZNW</t>
        </is>
      </c>
      <c r="R383" s="4" t="inlineStr">
        <is>
          <t>CAT資：</t>
        </is>
      </c>
      <c r="S383" s="4" t="inlineStr">
        <is>
          <t>CAT3</t>
        </is>
      </c>
      <c r="T383" s="4" t="inlineStr">
        <is>
          <t>T/O：</t>
        </is>
      </c>
      <c r="U383" s="4" t="inlineStr">
        <is>
          <t>3T251007</t>
        </is>
      </c>
      <c r="V383" s="4" t="inlineStr">
        <is>
          <t>L/D：</t>
        </is>
      </c>
      <c r="W383" s="4" t="inlineStr">
        <is>
          <t>3L251007</t>
        </is>
      </c>
      <c r="X383" s="4" t="inlineStr">
        <is>
          <t>PE：</t>
        </is>
      </c>
      <c r="Y383" s="5" t="inlineStr">
        <is>
          <t>PE260520</t>
        </is>
      </c>
      <c r="Z383" s="4" t="inlineStr">
        <is>
          <t>誕生月：</t>
        </is>
      </c>
      <c r="AA383" s="4" t="inlineStr">
        <is>
          <t>11</t>
        </is>
      </c>
      <c r="AB383" s="6" t="inlineStr">
        <is>
          <t>電話：</t>
        </is>
      </c>
      <c r="AC383" s="6" t="inlineStr">
        <is>
          <t>090-8526-4070</t>
        </is>
      </c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</row>
    <row r="384">
      <c r="A384" s="1" t="inlineStr">
        <is>
          <t>53828-2</t>
        </is>
      </c>
      <c r="B384" s="1" t="inlineStr">
        <is>
          <t>SEKI YO</t>
        </is>
      </c>
      <c r="C384" s="1" t="inlineStr"/>
      <c r="D384" s="1" t="inlineStr"/>
      <c r="E384" s="1" t="n">
        <v>209</v>
      </c>
      <c r="F384" s="7" t="inlineStr">
        <is>
          <t>01</t>
        </is>
      </c>
      <c r="G384" s="8" t="inlineStr">
        <is>
          <t>02</t>
        </is>
      </c>
      <c r="H384" s="8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8" t="inlineStr">
        <is>
          <t>08</t>
        </is>
      </c>
      <c r="N384" s="7" t="inlineStr">
        <is>
          <t>09</t>
        </is>
      </c>
      <c r="O384" s="8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8" t="inlineStr">
        <is>
          <t>13</t>
        </is>
      </c>
      <c r="S384" s="7" t="inlineStr">
        <is>
          <t>14</t>
        </is>
      </c>
      <c r="T384" s="8" t="inlineStr">
        <is>
          <t>15</t>
        </is>
      </c>
      <c r="U384" s="7" t="inlineStr">
        <is>
          <t>16</t>
        </is>
      </c>
      <c r="V384" s="8" t="inlineStr">
        <is>
          <t>17</t>
        </is>
      </c>
      <c r="W384" s="8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7" t="inlineStr">
        <is>
          <t>23</t>
        </is>
      </c>
      <c r="AC384" s="8" t="inlineStr">
        <is>
          <t>24</t>
        </is>
      </c>
      <c r="AD384" s="7" t="inlineStr">
        <is>
          <t>25</t>
        </is>
      </c>
      <c r="AE384" s="8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53828-3</t>
        </is>
      </c>
      <c r="B385" s="1" t="inlineStr">
        <is>
          <t>SEKI YO</t>
        </is>
      </c>
      <c r="C385" s="1" t="inlineStr"/>
      <c r="D385" s="1" t="inlineStr"/>
      <c r="E385" s="1" t="n">
        <v>209</v>
      </c>
      <c r="F385" s="9" t="inlineStr">
        <is>
          <t>H</t>
        </is>
      </c>
      <c r="G385" s="9" t="inlineStr">
        <is>
          <t>119
CMD TRN
124
CMD TRN
139
CMD TRN</t>
        </is>
      </c>
      <c r="H385" s="9" t="inlineStr">
        <is>
          <t>116
CMD TRN</t>
        </is>
      </c>
      <c r="I385" s="9" t="inlineStr">
        <is>
          <t>H</t>
        </is>
      </c>
      <c r="J385" s="9" t="inlineStr">
        <is>
          <t>CMD
TRN
#1
19:00-23:00</t>
        </is>
      </c>
      <c r="K385" s="9" t="inlineStr">
        <is>
          <t>H</t>
        </is>
      </c>
      <c r="L385" s="9" t="inlineStr">
        <is>
          <t>H</t>
        </is>
      </c>
      <c r="M385" s="9" t="inlineStr">
        <is>
          <t>33
CMD TRN</t>
        </is>
      </c>
      <c r="N385" s="9" t="inlineStr">
        <is>
          <t>---</t>
        </is>
      </c>
      <c r="O385" s="9" t="inlineStr">
        <is>
          <t>32
CMD TRN</t>
        </is>
      </c>
      <c r="P385" s="9" t="inlineStr">
        <is>
          <t>H</t>
        </is>
      </c>
      <c r="Q385" s="9" t="inlineStr">
        <is>
          <t>VAC</t>
        </is>
      </c>
      <c r="R385" s="9" t="inlineStr">
        <is>
          <t>745
CMD TRN</t>
        </is>
      </c>
      <c r="S385" s="9" t="inlineStr">
        <is>
          <t>---</t>
        </is>
      </c>
      <c r="T385" s="9" t="inlineStr">
        <is>
          <t>78
CMD TRN</t>
        </is>
      </c>
      <c r="U385" s="9" t="inlineStr">
        <is>
          <t>*H</t>
        </is>
      </c>
      <c r="V385" s="9" t="inlineStr">
        <is>
          <t>87
CMD TRN</t>
        </is>
      </c>
      <c r="W385" s="9" t="inlineStr">
        <is>
          <t>88
CMD TRN</t>
        </is>
      </c>
      <c r="X385" s="9" t="inlineStr">
        <is>
          <t>VAC</t>
        </is>
      </c>
      <c r="Y385" s="9" t="inlineStr">
        <is>
          <t>HH</t>
        </is>
      </c>
      <c r="Z385" s="9" t="inlineStr">
        <is>
          <t>HH</t>
        </is>
      </c>
      <c r="AA385" s="9" t="inlineStr">
        <is>
          <t>H</t>
        </is>
      </c>
      <c r="AB385" s="9" t="inlineStr">
        <is>
          <t>H/VAC</t>
        </is>
      </c>
      <c r="AC385" s="9" t="inlineStr">
        <is>
          <t>759
CMD TRN</t>
        </is>
      </c>
      <c r="AD385" s="9" t="inlineStr">
        <is>
          <t>---</t>
        </is>
      </c>
      <c r="AE385" s="9" t="inlineStr">
        <is>
          <t>70
CMD TRN</t>
        </is>
      </c>
      <c r="AF385" s="9" t="inlineStr">
        <is>
          <t>VAC</t>
        </is>
      </c>
      <c r="AG385" s="9" t="inlineStr">
        <is>
          <t>58</t>
        </is>
      </c>
      <c r="AH385" s="9" t="inlineStr">
        <is>
          <t>---</t>
        </is>
      </c>
      <c r="AI385" s="9" t="inlineStr">
        <is>
          <t>---</t>
        </is>
      </c>
      <c r="AJ385" s="9" t="inlineStr">
        <is>
          <t>57</t>
        </is>
      </c>
    </row>
    <row r="386">
      <c r="A386" s="1" t="inlineStr">
        <is>
          <t>53828-4</t>
        </is>
      </c>
      <c r="B386" s="1" t="inlineStr">
        <is>
          <t>SEKI YO</t>
        </is>
      </c>
      <c r="C386" s="1" t="inlineStr"/>
      <c r="D386" s="1" t="inlineStr"/>
      <c r="E386" s="1" t="n"/>
      <c r="F386" s="9" t="inlineStr"/>
      <c r="G386" s="9">
        <f>HYPERLINK("#Schedule!F169", "今井 HI (49241)")</f>
        <v/>
      </c>
      <c r="H386" s="9">
        <f>HYPERLINK("#Schedule!F169", "今井 HI (49241)")</f>
        <v/>
      </c>
      <c r="I386" s="9" t="inlineStr"/>
      <c r="J386" s="9">
        <f>HYPERLINK("#Schedule!F234", "I富川 MA (67428)")</f>
        <v/>
      </c>
      <c r="K386" s="9" t="inlineStr"/>
      <c r="L386" s="9" t="inlineStr"/>
      <c r="M386" s="9">
        <f>HYPERLINK("#Schedule!F156", "原口 HR (41170)")</f>
        <v/>
      </c>
      <c r="N386" s="9" t="inlineStr"/>
      <c r="O386" s="9">
        <f>HYPERLINK("#Schedule!F156", "原口 HR (41170)")</f>
        <v/>
      </c>
      <c r="P386" s="9" t="inlineStr"/>
      <c r="Q386" s="9" t="inlineStr"/>
      <c r="R386" s="9">
        <f>HYPERLINK("#Schedule!F147", "吉村MA (39670)")</f>
        <v/>
      </c>
      <c r="S386" s="9" t="inlineStr"/>
      <c r="T386" s="9">
        <f>HYPERLINK("#Schedule!F147", "吉村MA (39670)")</f>
        <v/>
      </c>
      <c r="U386" s="9" t="inlineStr"/>
      <c r="V386" s="9">
        <f>HYPERLINK("#Schedule!F133", "岡 HD (36149)")</f>
        <v/>
      </c>
      <c r="W386" s="9">
        <f>HYPERLINK("#Schedule!F133", "岡 HD (36149)")</f>
        <v/>
      </c>
      <c r="X386" s="9" t="inlineStr"/>
      <c r="Y386" s="9" t="inlineStr"/>
      <c r="Z386" s="9" t="inlineStr"/>
      <c r="AA386" s="9" t="inlineStr"/>
      <c r="AB386" s="9" t="inlineStr"/>
      <c r="AC386" s="9">
        <f>HYPERLINK("#Schedule!F234", "富川 MA (67428)")</f>
        <v/>
      </c>
      <c r="AD386" s="9" t="inlineStr"/>
      <c r="AE386" s="9">
        <f>HYPERLINK("#Schedule!F234", "富川 MA (67428)")</f>
        <v/>
      </c>
      <c r="AF386" s="9" t="inlineStr"/>
      <c r="AG386" s="9" t="inlineStr"/>
      <c r="AH386" s="9" t="inlineStr"/>
      <c r="AI386" s="9" t="inlineStr"/>
      <c r="AJ386" s="9" t="inlineStr"/>
    </row>
    <row r="387">
      <c r="A387" s="1" t="inlineStr">
        <is>
          <t>53828-5</t>
        </is>
      </c>
      <c r="B387" s="1" t="inlineStr">
        <is>
          <t>SEKI YO</t>
        </is>
      </c>
      <c r="C387" s="1" t="inlineStr"/>
      <c r="D387" s="1" t="inlineStr"/>
      <c r="E387" s="1" t="n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  <c r="R387" s="9" t="inlineStr"/>
      <c r="S387" s="9" t="inlineStr"/>
      <c r="T387" s="9" t="inlineStr"/>
      <c r="U387" s="9" t="inlineStr"/>
      <c r="V387" s="9">
        <f>HYPERLINK("#Schedule!F243", "山崎 KE (37255)")</f>
        <v/>
      </c>
      <c r="W387" s="9">
        <f>HYPERLINK("#Schedule!F243", "山崎 KE (37255)")</f>
        <v/>
      </c>
      <c r="X387" s="9" t="inlineStr"/>
      <c r="Y387" s="9" t="inlineStr"/>
      <c r="Z387" s="9" t="inlineStr"/>
      <c r="AA387" s="9" t="inlineStr"/>
      <c r="AB387" s="9" t="inlineStr"/>
      <c r="AC387" s="9" t="inlineStr"/>
      <c r="AD387" s="9" t="inlineStr"/>
      <c r="AE387" s="9" t="inlineStr"/>
      <c r="AF387" s="9" t="inlineStr"/>
      <c r="AG387" s="9" t="inlineStr"/>
      <c r="AH387" s="9" t="inlineStr"/>
      <c r="AI387" s="9" t="inlineStr"/>
      <c r="AJ387" s="9" t="inlineStr"/>
    </row>
    <row r="388">
      <c r="A388" s="1" t="inlineStr">
        <is>
          <t>53883-1</t>
        </is>
      </c>
      <c r="B388" s="1" t="inlineStr">
        <is>
          <t>MOMOZAKI MA</t>
        </is>
      </c>
      <c r="C388" s="1" t="inlineStr"/>
      <c r="D388" s="1" t="inlineStr"/>
      <c r="E388" s="1" t="n">
        <v>195</v>
      </c>
      <c r="F388" s="4" t="inlineStr">
        <is>
          <t>MOMOZAKIMA</t>
        </is>
      </c>
      <c r="G388" s="4" t="inlineStr">
        <is>
          <t>MA</t>
        </is>
      </c>
      <c r="H388" s="4" t="inlineStr">
        <is>
          <t>機種：</t>
        </is>
      </c>
      <c r="I388" s="4" t="inlineStr">
        <is>
          <t>787</t>
        </is>
      </c>
      <c r="J388" s="4" t="inlineStr">
        <is>
          <t>ランク：</t>
        </is>
      </c>
      <c r="K388" s="4" t="inlineStr">
        <is>
          <t>FO</t>
        </is>
      </c>
      <c r="L388" s="4" t="inlineStr">
        <is>
          <t>期：</t>
        </is>
      </c>
      <c r="M388" s="4" t="inlineStr">
        <is>
          <t>195</t>
        </is>
      </c>
      <c r="N388" s="4" t="inlineStr">
        <is>
          <t>職番：</t>
        </is>
      </c>
      <c r="O388" s="4" t="inlineStr">
        <is>
          <t>00053883</t>
        </is>
      </c>
      <c r="P388" s="4" t="inlineStr">
        <is>
          <t>所属：</t>
        </is>
      </c>
      <c r="Q388" s="4" t="inlineStr">
        <is>
          <t>NWZNW</t>
        </is>
      </c>
      <c r="R388" s="4" t="inlineStr">
        <is>
          <t>CAT資：</t>
        </is>
      </c>
      <c r="S388" s="4" t="inlineStr">
        <is>
          <t>CAT3</t>
        </is>
      </c>
      <c r="T388" s="4" t="inlineStr">
        <is>
          <t>T/O：</t>
        </is>
      </c>
      <c r="U388" s="4" t="inlineStr">
        <is>
          <t>3T251012</t>
        </is>
      </c>
      <c r="V388" s="4" t="inlineStr">
        <is>
          <t>L/D：</t>
        </is>
      </c>
      <c r="W388" s="4" t="inlineStr">
        <is>
          <t>3L251012</t>
        </is>
      </c>
      <c r="X388" s="4" t="inlineStr">
        <is>
          <t>PE：</t>
        </is>
      </c>
      <c r="Y388" s="5" t="inlineStr">
        <is>
          <t>PE260307</t>
        </is>
      </c>
      <c r="Z388" s="4" t="inlineStr">
        <is>
          <t>誕生月：</t>
        </is>
      </c>
      <c r="AA388" s="4" t="inlineStr">
        <is>
          <t>07</t>
        </is>
      </c>
      <c r="AB388" s="6" t="inlineStr">
        <is>
          <t>電話：</t>
        </is>
      </c>
      <c r="AC388" s="6" t="inlineStr">
        <is>
          <t>090-8505-3148</t>
        </is>
      </c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</row>
    <row r="389">
      <c r="A389" s="1" t="inlineStr">
        <is>
          <t>53883-2</t>
        </is>
      </c>
      <c r="B389" s="1" t="inlineStr">
        <is>
          <t>MOMOZAKI MA</t>
        </is>
      </c>
      <c r="C389" s="1" t="inlineStr"/>
      <c r="D389" s="1" t="inlineStr"/>
      <c r="E389" s="1" t="n">
        <v>195</v>
      </c>
      <c r="F389" s="8" t="inlineStr">
        <is>
          <t>01</t>
        </is>
      </c>
      <c r="G389" s="7" t="inlineStr">
        <is>
          <t>02</t>
        </is>
      </c>
      <c r="H389" s="8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8" t="inlineStr">
        <is>
          <t>06</t>
        </is>
      </c>
      <c r="L389" s="7" t="inlineStr">
        <is>
          <t>07</t>
        </is>
      </c>
      <c r="M389" s="8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8" t="inlineStr">
        <is>
          <t>11</t>
        </is>
      </c>
      <c r="Q389" s="8" t="inlineStr">
        <is>
          <t>12</t>
        </is>
      </c>
      <c r="R389" s="7" t="inlineStr">
        <is>
          <t>13</t>
        </is>
      </c>
      <c r="S389" s="8" t="inlineStr">
        <is>
          <t>14</t>
        </is>
      </c>
      <c r="T389" s="8" t="inlineStr">
        <is>
          <t>15</t>
        </is>
      </c>
      <c r="U389" s="7" t="inlineStr">
        <is>
          <t>16</t>
        </is>
      </c>
      <c r="V389" s="8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14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53883-3</t>
        </is>
      </c>
      <c r="B390" s="1" t="inlineStr">
        <is>
          <t>MOMOZAKI MA</t>
        </is>
      </c>
      <c r="C390" s="1" t="inlineStr"/>
      <c r="D390" s="1" t="inlineStr"/>
      <c r="E390" s="1" t="n">
        <v>195</v>
      </c>
      <c r="F390" s="9" t="inlineStr">
        <is>
          <t>37
VLDP TRN</t>
        </is>
      </c>
      <c r="G390" s="9" t="inlineStr">
        <is>
          <t>---</t>
        </is>
      </c>
      <c r="H390" s="9" t="inlineStr">
        <is>
          <t>36
VLDP TRN</t>
        </is>
      </c>
      <c r="I390" s="9" t="inlineStr">
        <is>
          <t>H</t>
        </is>
      </c>
      <c r="J390" s="9" t="inlineStr">
        <is>
          <t>CMD
TRN
#2
09:00-11:00</t>
        </is>
      </c>
      <c r="K390" s="9" t="inlineStr">
        <is>
          <t>759
VLDP TRN</t>
        </is>
      </c>
      <c r="L390" s="9" t="inlineStr">
        <is>
          <t>---</t>
        </is>
      </c>
      <c r="M390" s="9" t="inlineStr">
        <is>
          <t>70
VLDP TRN</t>
        </is>
      </c>
      <c r="N390" s="9" t="inlineStr">
        <is>
          <t>H</t>
        </is>
      </c>
      <c r="O390" s="9" t="inlineStr">
        <is>
          <t>H</t>
        </is>
      </c>
      <c r="P390" s="9" t="inlineStr">
        <is>
          <t>99
VLDP TRN</t>
        </is>
      </c>
      <c r="Q390" s="9" t="inlineStr">
        <is>
          <t>96
VLDP TRN</t>
        </is>
      </c>
      <c r="R390" s="9" t="inlineStr">
        <is>
          <t>H</t>
        </is>
      </c>
      <c r="S390" s="9" t="inlineStr">
        <is>
          <t>101
VLDP TRN
106
VLDP TRN
113
VLDP TRN</t>
        </is>
      </c>
      <c r="T390" s="9" t="inlineStr">
        <is>
          <t>104
VLDP TRN
111
VLDP TRN
114
VLDP TRN</t>
        </is>
      </c>
      <c r="U390" s="9" t="inlineStr">
        <is>
          <t>H</t>
        </is>
      </c>
      <c r="V390" s="9" t="inlineStr">
        <is>
          <t>91
VLDP TRN
92
VLDP TRN</t>
        </is>
      </c>
      <c r="W390" s="9" t="inlineStr">
        <is>
          <t>H</t>
        </is>
      </c>
      <c r="X390" s="9" t="inlineStr">
        <is>
          <t>CMD
TRN</t>
        </is>
      </c>
      <c r="Y390" s="9" t="inlineStr">
        <is>
          <t>H</t>
        </is>
      </c>
      <c r="Z390" s="9" t="inlineStr">
        <is>
          <t>H</t>
        </is>
      </c>
      <c r="AA390" s="9" t="inlineStr">
        <is>
          <t>H</t>
        </is>
      </c>
      <c r="AB390" s="9" t="inlineStr">
        <is>
          <t>H</t>
        </is>
      </c>
      <c r="AC390" s="9" t="inlineStr">
        <is>
          <t>PH3
TRN</t>
        </is>
      </c>
      <c r="AD390" s="9" t="inlineStr">
        <is>
          <t>229DH</t>
        </is>
      </c>
      <c r="AE390" s="9" t="inlineStr">
        <is>
          <t>60</t>
        </is>
      </c>
      <c r="AF390" s="9" t="inlineStr">
        <is>
          <t>---</t>
        </is>
      </c>
      <c r="AG390" s="9" t="inlineStr">
        <is>
          <t>---</t>
        </is>
      </c>
      <c r="AH390" s="9" t="inlineStr">
        <is>
          <t>69
228DH</t>
        </is>
      </c>
      <c r="AI390" s="9" t="inlineStr">
        <is>
          <t>*H</t>
        </is>
      </c>
      <c r="AJ390" s="9" t="inlineStr">
        <is>
          <t>H/VAC</t>
        </is>
      </c>
    </row>
    <row r="391">
      <c r="A391" s="1" t="inlineStr">
        <is>
          <t>53883-4</t>
        </is>
      </c>
      <c r="B391" s="1" t="inlineStr">
        <is>
          <t>MOMOZAKI MA</t>
        </is>
      </c>
      <c r="C391" s="1" t="inlineStr"/>
      <c r="D391" s="1" t="inlineStr"/>
      <c r="E391" s="1" t="n"/>
      <c r="F391" s="9">
        <f>HYPERLINK("#Schedule!F212", "白井 MC (41213)")</f>
        <v/>
      </c>
      <c r="G391" s="9" t="inlineStr"/>
      <c r="H391" s="9">
        <f>HYPERLINK("#Schedule!F212", "白井 MC (41213)")</f>
        <v/>
      </c>
      <c r="I391" s="9" t="inlineStr"/>
      <c r="J391" s="9">
        <f>HYPERLINK("#Schedule!F86", "I金澤 RY (38560)")</f>
        <v/>
      </c>
      <c r="K391" s="9">
        <f>HYPERLINK("#Schedule!F102", "下村 HI (41558)")</f>
        <v/>
      </c>
      <c r="L391" s="9" t="inlineStr"/>
      <c r="M391" s="9">
        <f>HYPERLINK("#Schedule!F102", "下村 HI (41558)")</f>
        <v/>
      </c>
      <c r="N391" s="9" t="inlineStr"/>
      <c r="O391" s="9" t="inlineStr"/>
      <c r="P391" s="9">
        <f>HYPERLINK("#Schedule!F212", "白井 MC (41213)")</f>
        <v/>
      </c>
      <c r="Q391" s="9">
        <f>HYPERLINK("#Schedule!F212", "白井 MC (41213)")</f>
        <v/>
      </c>
      <c r="R391" s="9" t="inlineStr"/>
      <c r="S391" s="9">
        <f>HYPERLINK("#Schedule!F284", "KASEGI (43997)")</f>
        <v/>
      </c>
      <c r="T391" s="9">
        <f>HYPERLINK("#Schedule!F284", "KASEGI (43997)")</f>
        <v/>
      </c>
      <c r="U391" s="9" t="inlineStr"/>
      <c r="V391" s="9">
        <f>HYPERLINK("#Schedule!F102", "下村 HI (41558)")</f>
        <v/>
      </c>
      <c r="W391" s="9" t="inlineStr"/>
      <c r="X391" s="9" t="inlineStr"/>
      <c r="Y391" s="9" t="inlineStr"/>
      <c r="Z391" s="9" t="inlineStr"/>
      <c r="AA391" s="9" t="inlineStr"/>
      <c r="AB391" s="9" t="inlineStr"/>
      <c r="AC391" s="9" t="inlineStr"/>
      <c r="AD391" s="9" t="inlineStr"/>
      <c r="AE391" s="9" t="inlineStr"/>
      <c r="AF391" s="9" t="inlineStr"/>
      <c r="AG391" s="9" t="inlineStr"/>
      <c r="AH391" s="9" t="inlineStr"/>
      <c r="AI391" s="9" t="inlineStr"/>
      <c r="AJ391" s="9" t="inlineStr"/>
    </row>
    <row r="392">
      <c r="A392" s="1" t="inlineStr">
        <is>
          <t>44520-1</t>
        </is>
      </c>
      <c r="B392" s="1" t="inlineStr">
        <is>
          <t>HAYASAKA MA</t>
        </is>
      </c>
      <c r="C392" s="1" t="inlineStr"/>
      <c r="D392" s="1" t="inlineStr"/>
      <c r="E392" s="1" t="n">
        <v>129</v>
      </c>
      <c r="F392" s="4" t="inlineStr">
        <is>
          <t>HAYASAKAMA</t>
        </is>
      </c>
      <c r="G392" s="4" t="inlineStr">
        <is>
          <t>MA</t>
        </is>
      </c>
      <c r="H392" s="4" t="inlineStr">
        <is>
          <t>機種：</t>
        </is>
      </c>
      <c r="I392" s="4" t="inlineStr">
        <is>
          <t>787</t>
        </is>
      </c>
      <c r="J392" s="4" t="inlineStr">
        <is>
          <t>ランク：</t>
        </is>
      </c>
      <c r="K392" s="4" t="inlineStr">
        <is>
          <t>FO</t>
        </is>
      </c>
      <c r="L392" s="4" t="inlineStr">
        <is>
          <t>期：</t>
        </is>
      </c>
      <c r="M392" s="4" t="inlineStr">
        <is>
          <t>129</t>
        </is>
      </c>
      <c r="N392" s="4" t="inlineStr">
        <is>
          <t>職番：</t>
        </is>
      </c>
      <c r="O392" s="4" t="inlineStr">
        <is>
          <t>00044520</t>
        </is>
      </c>
      <c r="P392" s="4" t="inlineStr">
        <is>
          <t>所属：</t>
        </is>
      </c>
      <c r="Q392" s="4" t="inlineStr">
        <is>
          <t>NWZNW</t>
        </is>
      </c>
      <c r="R392" s="4" t="inlineStr">
        <is>
          <t>CAT資：</t>
        </is>
      </c>
      <c r="S392" s="4" t="inlineStr">
        <is>
          <t>CAT3</t>
        </is>
      </c>
      <c r="T392" s="4" t="inlineStr">
        <is>
          <t>T/O：</t>
        </is>
      </c>
      <c r="U392" s="4" t="inlineStr">
        <is>
          <t>3T251008</t>
        </is>
      </c>
      <c r="V392" s="4" t="inlineStr">
        <is>
          <t>L/D：</t>
        </is>
      </c>
      <c r="W392" s="4" t="inlineStr">
        <is>
          <t>3L251008</t>
        </is>
      </c>
      <c r="X392" s="4" t="inlineStr">
        <is>
          <t>PE：</t>
        </is>
      </c>
      <c r="Y392" s="5" t="inlineStr">
        <is>
          <t>PE250907</t>
        </is>
      </c>
      <c r="Z392" s="4" t="inlineStr">
        <is>
          <t>誕生月：</t>
        </is>
      </c>
      <c r="AA392" s="4" t="inlineStr">
        <is>
          <t>08</t>
        </is>
      </c>
      <c r="AB392" s="6" t="inlineStr">
        <is>
          <t>電話：</t>
        </is>
      </c>
      <c r="AC392" s="6" t="inlineStr">
        <is>
          <t>090-4959-4321</t>
        </is>
      </c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</row>
    <row r="393">
      <c r="A393" s="1" t="inlineStr">
        <is>
          <t>44520-2</t>
        </is>
      </c>
      <c r="B393" s="1" t="inlineStr">
        <is>
          <t>HAYASAKA MA</t>
        </is>
      </c>
      <c r="C393" s="1" t="inlineStr"/>
      <c r="D393" s="1" t="inlineStr"/>
      <c r="E393" s="1" t="n">
        <v>129</v>
      </c>
      <c r="F393" s="7" t="inlineStr">
        <is>
          <t>01</t>
        </is>
      </c>
      <c r="G393" s="7" t="inlineStr">
        <is>
          <t>02</t>
        </is>
      </c>
      <c r="H393" s="8" t="inlineStr">
        <is>
          <t>03</t>
        </is>
      </c>
      <c r="I393" s="8" t="inlineStr">
        <is>
          <t>04</t>
        </is>
      </c>
      <c r="J393" s="7" t="inlineStr">
        <is>
          <t>05</t>
        </is>
      </c>
      <c r="K393" s="7" t="inlineStr">
        <is>
          <t>06</t>
        </is>
      </c>
      <c r="L393" s="7" t="inlineStr">
        <is>
          <t>07</t>
        </is>
      </c>
      <c r="M393" s="7" t="inlineStr">
        <is>
          <t>08</t>
        </is>
      </c>
      <c r="N393" s="8" t="inlineStr">
        <is>
          <t>09</t>
        </is>
      </c>
      <c r="O393" s="7" t="inlineStr">
        <is>
          <t>10</t>
        </is>
      </c>
      <c r="P393" s="8" t="inlineStr">
        <is>
          <t>11</t>
        </is>
      </c>
      <c r="Q393" s="7" t="inlineStr">
        <is>
          <t>12</t>
        </is>
      </c>
      <c r="R393" s="7" t="inlineStr">
        <is>
          <t>13</t>
        </is>
      </c>
      <c r="S393" s="8" t="inlineStr">
        <is>
          <t>14</t>
        </is>
      </c>
      <c r="T393" s="7" t="inlineStr">
        <is>
          <t>15</t>
        </is>
      </c>
      <c r="U393" s="8" t="inlineStr">
        <is>
          <t>16</t>
        </is>
      </c>
      <c r="V393" s="7" t="inlineStr">
        <is>
          <t>17</t>
        </is>
      </c>
      <c r="W393" s="7" t="inlineStr">
        <is>
          <t>18</t>
        </is>
      </c>
      <c r="X393" s="7" t="inlineStr">
        <is>
          <t>19</t>
        </is>
      </c>
      <c r="Y393" s="7" t="inlineStr">
        <is>
          <t>20</t>
        </is>
      </c>
      <c r="Z393" s="8" t="inlineStr">
        <is>
          <t>21</t>
        </is>
      </c>
      <c r="AA393" s="8" t="inlineStr">
        <is>
          <t>22</t>
        </is>
      </c>
      <c r="AB393" s="7" t="inlineStr">
        <is>
          <t>23</t>
        </is>
      </c>
      <c r="AC393" s="7" t="inlineStr">
        <is>
          <t>24</t>
        </is>
      </c>
      <c r="AD393" s="7" t="inlineStr">
        <is>
          <t>25</t>
        </is>
      </c>
      <c r="AE393" s="7" t="inlineStr">
        <is>
          <t>26</t>
        </is>
      </c>
      <c r="AF393" s="7" t="inlineStr">
        <is>
          <t>27</t>
        </is>
      </c>
      <c r="AG393" s="7" t="inlineStr">
        <is>
          <t>28</t>
        </is>
      </c>
      <c r="AH393" s="7" t="inlineStr">
        <is>
          <t>29</t>
        </is>
      </c>
      <c r="AI393" s="7" t="inlineStr">
        <is>
          <t>30</t>
        </is>
      </c>
      <c r="AJ393" s="7" t="inlineStr">
        <is>
          <t>31</t>
        </is>
      </c>
    </row>
    <row r="394">
      <c r="A394" s="1" t="inlineStr">
        <is>
          <t>44520-3</t>
        </is>
      </c>
      <c r="B394" s="1" t="inlineStr">
        <is>
          <t>HAYASAKA MA</t>
        </is>
      </c>
      <c r="C394" s="1" t="inlineStr"/>
      <c r="D394" s="1" t="inlineStr"/>
      <c r="E394" s="1" t="n">
        <v>129</v>
      </c>
      <c r="F394" s="9" t="inlineStr">
        <is>
          <t>H</t>
        </is>
      </c>
      <c r="G394" s="9" t="inlineStr">
        <is>
          <t>H</t>
        </is>
      </c>
      <c r="H394" s="9" t="inlineStr">
        <is>
          <t>505
CMD TRN
506
CMD TRN
517
CMD TRN</t>
        </is>
      </c>
      <c r="I394" s="9" t="inlineStr">
        <is>
          <t>516
CMD TRN
527
CMD TRN
528
CMD TRN</t>
        </is>
      </c>
      <c r="J394" s="9" t="inlineStr">
        <is>
          <t>RF</t>
        </is>
      </c>
      <c r="K394" s="9" t="inlineStr">
        <is>
          <t>SX</t>
        </is>
      </c>
      <c r="L394" s="9" t="inlineStr">
        <is>
          <t>BFG</t>
        </is>
      </c>
      <c r="M394" s="9" t="inlineStr">
        <is>
          <t>H</t>
        </is>
      </c>
      <c r="N394" s="9" t="inlineStr">
        <is>
          <t>729
CMD TRN</t>
        </is>
      </c>
      <c r="O394" s="9" t="inlineStr">
        <is>
          <t>---</t>
        </is>
      </c>
      <c r="P394" s="9" t="inlineStr">
        <is>
          <t>720
CMD TRN</t>
        </is>
      </c>
      <c r="Q394" s="9" t="inlineStr">
        <is>
          <t>H</t>
        </is>
      </c>
      <c r="R394" s="9" t="inlineStr">
        <is>
          <t>SX</t>
        </is>
      </c>
      <c r="S394" s="9" t="inlineStr">
        <is>
          <t>37
CMD TRN</t>
        </is>
      </c>
      <c r="T394" s="9" t="inlineStr">
        <is>
          <t>---</t>
        </is>
      </c>
      <c r="U394" s="9" t="inlineStr">
        <is>
          <t>36
CMD TRN</t>
        </is>
      </c>
      <c r="V394" s="9" t="inlineStr">
        <is>
          <t>H</t>
        </is>
      </c>
      <c r="W394" s="9" t="inlineStr">
        <is>
          <t>CMD
TRN</t>
        </is>
      </c>
      <c r="X394" s="9" t="inlineStr">
        <is>
          <t>CMD
TRN
#1
19:00-21:00</t>
        </is>
      </c>
      <c r="Y394" s="9" t="inlineStr">
        <is>
          <t>VAC</t>
        </is>
      </c>
      <c r="Z394" s="9" t="inlineStr">
        <is>
          <t>91
CMD TRN
92
CMD TRN</t>
        </is>
      </c>
      <c r="AA394" s="9" t="inlineStr">
        <is>
          <t>23
CMD TRN
24
CMD TRN</t>
        </is>
      </c>
      <c r="AB394" s="9" t="inlineStr">
        <is>
          <t>H/VAC</t>
        </is>
      </c>
      <c r="AC394" s="9" t="inlineStr">
        <is>
          <t>H</t>
        </is>
      </c>
      <c r="AD394" s="9" t="inlineStr">
        <is>
          <t>PE
PE TRN
PE
PE TRN</t>
        </is>
      </c>
      <c r="AE394" s="9" t="inlineStr">
        <is>
          <t>APO
GMT0</t>
        </is>
      </c>
      <c r="AF394" s="9" t="inlineStr">
        <is>
          <t>HH</t>
        </is>
      </c>
      <c r="AG394" s="9" t="inlineStr">
        <is>
          <t>HH</t>
        </is>
      </c>
      <c r="AH394" s="9" t="inlineStr">
        <is>
          <t>R</t>
        </is>
      </c>
      <c r="AI394" s="9" t="inlineStr">
        <is>
          <t>93
94</t>
        </is>
      </c>
      <c r="AJ394" s="9" t="inlineStr">
        <is>
          <t>H</t>
        </is>
      </c>
    </row>
    <row r="395">
      <c r="A395" s="1" t="inlineStr">
        <is>
          <t>44520-4</t>
        </is>
      </c>
      <c r="B395" s="1" t="inlineStr">
        <is>
          <t>HAYASAKA MA</t>
        </is>
      </c>
      <c r="C395" s="1" t="inlineStr"/>
      <c r="D395" s="1" t="inlineStr"/>
      <c r="E395" s="1" t="n"/>
      <c r="F395" s="9" t="inlineStr"/>
      <c r="G395" s="9" t="inlineStr"/>
      <c r="H395" s="9">
        <f>HYPERLINK("#Schedule!F269", "永澤 TA (49245)")</f>
        <v/>
      </c>
      <c r="I395" s="9">
        <f>HYPERLINK("#Schedule!F58", "市川 TO (41467)")</f>
        <v/>
      </c>
      <c r="J395" s="9" t="inlineStr"/>
      <c r="K395" s="9" t="inlineStr"/>
      <c r="L395" s="9" t="inlineStr"/>
      <c r="M395" s="9" t="inlineStr"/>
      <c r="N395" s="9" t="inlineStr">
        <is>
          <t>TAKAMIKE</t>
        </is>
      </c>
      <c r="O395" s="9" t="inlineStr"/>
      <c r="P395" s="9" t="inlineStr">
        <is>
          <t>TAKAMIKE</t>
        </is>
      </c>
      <c r="Q395" s="9" t="inlineStr"/>
      <c r="R395" s="9" t="inlineStr"/>
      <c r="S395" s="9">
        <f>HYPERLINK("#Schedule!F165", "伊藤 SE (49240)")</f>
        <v/>
      </c>
      <c r="T395" s="9" t="inlineStr"/>
      <c r="U395" s="9">
        <f>HYPERLINK("#Schedule!F165", "伊藤 SE (49240)")</f>
        <v/>
      </c>
      <c r="V395" s="9" t="inlineStr"/>
      <c r="W395" s="9" t="inlineStr"/>
      <c r="X395" s="9" t="inlineStr">
        <is>
          <t>I鴨野 KO</t>
        </is>
      </c>
      <c r="Y395" s="9" t="inlineStr"/>
      <c r="Z395" s="9">
        <f>HYPERLINK("#Schedule!F269", "永澤 TA (49245)")</f>
        <v/>
      </c>
      <c r="AA395" s="9">
        <f>HYPERLINK("#Schedule!F138", "安藤 YU (37725)")</f>
        <v/>
      </c>
      <c r="AB395" s="9" t="inlineStr"/>
      <c r="AC395" s="9" t="inlineStr"/>
      <c r="AD395" s="9" t="inlineStr"/>
      <c r="AE395" s="9" t="inlineStr"/>
      <c r="AF395" s="9" t="inlineStr"/>
      <c r="AG395" s="9" t="inlineStr"/>
      <c r="AH395" s="9" t="inlineStr"/>
      <c r="AI395" s="9">
        <f>HYPERLINK("#Schedule!F58", "市川 TO (41467)")</f>
        <v/>
      </c>
      <c r="AJ395" s="9" t="inlineStr"/>
    </row>
    <row r="396">
      <c r="A396" s="1" t="inlineStr">
        <is>
          <t>44520-5</t>
        </is>
      </c>
      <c r="B396" s="1" t="inlineStr">
        <is>
          <t>HAYASAKA MA</t>
        </is>
      </c>
      <c r="C396" s="1" t="inlineStr"/>
      <c r="D396" s="1" t="inlineStr"/>
      <c r="E396" s="1" t="n"/>
      <c r="F396" s="9" t="inlineStr"/>
      <c r="G396" s="9" t="inlineStr"/>
      <c r="H396" s="9" t="inlineStr"/>
      <c r="I396" s="9">
        <f>HYPERLINK("#Schedule!F269", "永澤 TA (49245)")</f>
        <v/>
      </c>
      <c r="J396" s="9" t="inlineStr"/>
      <c r="K396" s="9" t="inlineStr"/>
      <c r="L396" s="9" t="inlineStr"/>
      <c r="M396" s="9" t="inlineStr"/>
      <c r="N396" s="9" t="inlineStr"/>
      <c r="O396" s="9" t="inlineStr"/>
      <c r="P396" s="9" t="inlineStr"/>
      <c r="Q396" s="9" t="inlineStr"/>
      <c r="R396" s="9" t="inlineStr"/>
      <c r="S396" s="9" t="inlineStr"/>
      <c r="T396" s="9" t="inlineStr"/>
      <c r="U396" s="9" t="inlineStr"/>
      <c r="V396" s="9" t="inlineStr"/>
      <c r="W396" s="9" t="inlineStr"/>
      <c r="X396" s="9" t="inlineStr"/>
      <c r="Y396" s="9" t="inlineStr"/>
      <c r="Z396" s="9" t="inlineStr"/>
      <c r="AA396" s="9" t="inlineStr"/>
      <c r="AB396" s="9" t="inlineStr"/>
      <c r="AC396" s="9" t="inlineStr"/>
      <c r="AD396" s="9" t="inlineStr"/>
      <c r="AE396" s="9" t="inlineStr"/>
      <c r="AF396" s="9" t="inlineStr"/>
      <c r="AG396" s="9" t="inlineStr"/>
      <c r="AH396" s="9" t="inlineStr"/>
      <c r="AI396" s="9">
        <f>HYPERLINK("#Schedule!F374", "NAKAITO (53882)")</f>
        <v/>
      </c>
      <c r="AJ396" s="9" t="inlineStr"/>
    </row>
    <row r="397">
      <c r="A397" s="1" t="inlineStr">
        <is>
          <t>44520-6</t>
        </is>
      </c>
      <c r="B397" s="1" t="inlineStr">
        <is>
          <t>HAYASAKA MA</t>
        </is>
      </c>
      <c r="C397" s="1" t="inlineStr"/>
      <c r="D397" s="1" t="inlineStr"/>
      <c r="E397" s="1" t="n"/>
      <c r="F397" s="9" t="inlineStr"/>
      <c r="G397" s="9" t="inlineStr"/>
      <c r="H397" s="9" t="inlineStr"/>
      <c r="I397" s="9">
        <f>HYPERLINK("#Schedule!F398", "UMEMIYAMA (53878)")</f>
        <v/>
      </c>
      <c r="J397" s="9" t="inlineStr"/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inlineStr"/>
      <c r="S397" s="9" t="inlineStr"/>
      <c r="T397" s="9" t="inlineStr"/>
      <c r="U397" s="9" t="inlineStr"/>
      <c r="V397" s="9" t="inlineStr"/>
      <c r="W397" s="9" t="inlineStr"/>
      <c r="X397" s="9" t="inlineStr"/>
      <c r="Y397" s="9" t="inlineStr"/>
      <c r="Z397" s="9" t="inlineStr"/>
      <c r="AA397" s="9" t="inlineStr"/>
      <c r="AB397" s="9" t="inlineStr"/>
      <c r="AC397" s="9" t="inlineStr"/>
      <c r="AD397" s="9" t="inlineStr"/>
      <c r="AE397" s="9" t="inlineStr"/>
      <c r="AF397" s="9" t="inlineStr"/>
      <c r="AG397" s="9" t="inlineStr"/>
      <c r="AH397" s="9" t="inlineStr"/>
      <c r="AI397" s="9" t="inlineStr"/>
      <c r="AJ397" s="9" t="inlineStr"/>
    </row>
    <row r="398">
      <c r="A398" s="1" t="inlineStr">
        <is>
          <t>53878-1</t>
        </is>
      </c>
      <c r="B398" s="1" t="inlineStr">
        <is>
          <t>UMEMIYA MA</t>
        </is>
      </c>
      <c r="C398" s="1" t="inlineStr"/>
      <c r="D398" s="1" t="inlineStr"/>
      <c r="E398" s="1" t="n">
        <v>195</v>
      </c>
      <c r="F398" s="4" t="inlineStr">
        <is>
          <t>UMEMIYAMA</t>
        </is>
      </c>
      <c r="G398" s="4" t="inlineStr">
        <is>
          <t>MA</t>
        </is>
      </c>
      <c r="H398" s="4" t="inlineStr">
        <is>
          <t>機種：</t>
        </is>
      </c>
      <c r="I398" s="4" t="inlineStr">
        <is>
          <t>787</t>
        </is>
      </c>
      <c r="J398" s="4" t="inlineStr">
        <is>
          <t>ランク：</t>
        </is>
      </c>
      <c r="K398" s="4" t="inlineStr">
        <is>
          <t>FO</t>
        </is>
      </c>
      <c r="L398" s="4" t="inlineStr">
        <is>
          <t>期：</t>
        </is>
      </c>
      <c r="M398" s="4" t="inlineStr">
        <is>
          <t>195</t>
        </is>
      </c>
      <c r="N398" s="4" t="inlineStr">
        <is>
          <t>職番：</t>
        </is>
      </c>
      <c r="O398" s="4" t="inlineStr">
        <is>
          <t>00053878</t>
        </is>
      </c>
      <c r="P398" s="4" t="inlineStr">
        <is>
          <t>所属：</t>
        </is>
      </c>
      <c r="Q398" s="4" t="inlineStr">
        <is>
          <t>NWZNW</t>
        </is>
      </c>
      <c r="R398" s="4" t="inlineStr">
        <is>
          <t>CAT資：</t>
        </is>
      </c>
      <c r="S398" s="4" t="inlineStr">
        <is>
          <t>CAT3</t>
        </is>
      </c>
      <c r="T398" s="4" t="inlineStr">
        <is>
          <t>T/O：</t>
        </is>
      </c>
      <c r="U398" s="4" t="inlineStr">
        <is>
          <t>3T251010</t>
        </is>
      </c>
      <c r="V398" s="4" t="inlineStr">
        <is>
          <t>L/D：</t>
        </is>
      </c>
      <c r="W398" s="4" t="inlineStr">
        <is>
          <t>3L251010</t>
        </is>
      </c>
      <c r="X398" s="4" t="inlineStr">
        <is>
          <t>PE：</t>
        </is>
      </c>
      <c r="Y398" s="5" t="inlineStr">
        <is>
          <t>PE260321</t>
        </is>
      </c>
      <c r="Z398" s="4" t="inlineStr">
        <is>
          <t>誕生月：</t>
        </is>
      </c>
      <c r="AA398" s="4" t="inlineStr">
        <is>
          <t>12</t>
        </is>
      </c>
      <c r="AB398" s="6" t="inlineStr">
        <is>
          <t>電話：</t>
        </is>
      </c>
      <c r="AC398" s="6" t="inlineStr">
        <is>
          <t>090-6012-5245</t>
        </is>
      </c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</row>
    <row r="399">
      <c r="A399" s="1" t="inlineStr">
        <is>
          <t>53878-2</t>
        </is>
      </c>
      <c r="B399" s="1" t="inlineStr">
        <is>
          <t>UMEMIYA MA</t>
        </is>
      </c>
      <c r="C399" s="1" t="inlineStr"/>
      <c r="D399" s="1" t="inlineStr"/>
      <c r="E399" s="1" t="n">
        <v>195</v>
      </c>
      <c r="F399" s="7" t="inlineStr">
        <is>
          <t>01</t>
        </is>
      </c>
      <c r="G399" s="8" t="inlineStr">
        <is>
          <t>02</t>
        </is>
      </c>
      <c r="H399" s="8" t="inlineStr">
        <is>
          <t>03</t>
        </is>
      </c>
      <c r="I399" s="8" t="inlineStr">
        <is>
          <t>04</t>
        </is>
      </c>
      <c r="J399" s="7" t="inlineStr">
        <is>
          <t>05</t>
        </is>
      </c>
      <c r="K399" s="7" t="inlineStr">
        <is>
          <t>06</t>
        </is>
      </c>
      <c r="L399" s="8" t="inlineStr">
        <is>
          <t>07</t>
        </is>
      </c>
      <c r="M399" s="7" t="inlineStr">
        <is>
          <t>08</t>
        </is>
      </c>
      <c r="N399" s="8" t="inlineStr">
        <is>
          <t>09</t>
        </is>
      </c>
      <c r="O399" s="7" t="inlineStr">
        <is>
          <t>10</t>
        </is>
      </c>
      <c r="P399" s="7" t="inlineStr">
        <is>
          <t>11</t>
        </is>
      </c>
      <c r="Q399" s="8" t="inlineStr">
        <is>
          <t>12</t>
        </is>
      </c>
      <c r="R399" s="8" t="inlineStr">
        <is>
          <t>13</t>
        </is>
      </c>
      <c r="S399" s="7" t="inlineStr">
        <is>
          <t>14</t>
        </is>
      </c>
      <c r="T399" s="7" t="inlineStr">
        <is>
          <t>15</t>
        </is>
      </c>
      <c r="U399" s="8" t="inlineStr">
        <is>
          <t>16</t>
        </is>
      </c>
      <c r="V399" s="8" t="inlineStr">
        <is>
          <t>17</t>
        </is>
      </c>
      <c r="W399" s="7" t="inlineStr">
        <is>
          <t>18</t>
        </is>
      </c>
      <c r="X399" s="7" t="inlineStr">
        <is>
          <t>19</t>
        </is>
      </c>
      <c r="Y399" s="7" t="inlineStr">
        <is>
          <t>20</t>
        </is>
      </c>
      <c r="Z399" s="7" t="inlineStr">
        <is>
          <t>21</t>
        </is>
      </c>
      <c r="AA399" s="7" t="inlineStr">
        <is>
          <t>22</t>
        </is>
      </c>
      <c r="AB399" s="13" t="inlineStr">
        <is>
          <t>23</t>
        </is>
      </c>
      <c r="AC399" s="14" t="inlineStr">
        <is>
          <t>24</t>
        </is>
      </c>
      <c r="AD399" s="7" t="inlineStr">
        <is>
          <t>25</t>
        </is>
      </c>
      <c r="AE399" s="7" t="inlineStr">
        <is>
          <t>26</t>
        </is>
      </c>
      <c r="AF399" s="7" t="inlineStr">
        <is>
          <t>27</t>
        </is>
      </c>
      <c r="AG399" s="7" t="inlineStr">
        <is>
          <t>28</t>
        </is>
      </c>
      <c r="AH399" s="7" t="inlineStr">
        <is>
          <t>29</t>
        </is>
      </c>
      <c r="AI399" s="7" t="inlineStr">
        <is>
          <t>30</t>
        </is>
      </c>
      <c r="AJ399" s="7" t="inlineStr">
        <is>
          <t>31</t>
        </is>
      </c>
    </row>
    <row r="400">
      <c r="A400" s="1" t="inlineStr">
        <is>
          <t>53878-3</t>
        </is>
      </c>
      <c r="B400" s="1" t="inlineStr">
        <is>
          <t>UMEMIYA MA</t>
        </is>
      </c>
      <c r="C400" s="1" t="inlineStr"/>
      <c r="D400" s="1" t="inlineStr"/>
      <c r="E400" s="1" t="n">
        <v>195</v>
      </c>
      <c r="F400" s="9" t="inlineStr">
        <is>
          <t>HH</t>
        </is>
      </c>
      <c r="G400" s="9" t="inlineStr">
        <is>
          <t>503
VLDP TRN
504
VLDP TRN
517
VLDP TRN</t>
        </is>
      </c>
      <c r="H400" s="9" t="inlineStr">
        <is>
          <t>516
VLDP TRN
527
VLDP TRN</t>
        </is>
      </c>
      <c r="I400" s="9" t="inlineStr">
        <is>
          <t>528
VLDP TRN</t>
        </is>
      </c>
      <c r="J400" s="9" t="inlineStr">
        <is>
          <t>CMD
TRN
#2
15:00-19:00</t>
        </is>
      </c>
      <c r="K400" s="9" t="inlineStr">
        <is>
          <t>RF</t>
        </is>
      </c>
      <c r="L400" s="9" t="inlineStr">
        <is>
          <t>74
VLDP TRN</t>
        </is>
      </c>
      <c r="M400" s="9" t="inlineStr">
        <is>
          <t>---</t>
        </is>
      </c>
      <c r="N400" s="9" t="inlineStr">
        <is>
          <t>73
VLDP TRN</t>
        </is>
      </c>
      <c r="O400" s="9" t="inlineStr">
        <is>
          <t>H</t>
        </is>
      </c>
      <c r="P400" s="9" t="inlineStr">
        <is>
          <t>H</t>
        </is>
      </c>
      <c r="Q400" s="9" t="inlineStr">
        <is>
          <t>91
VLDP TRN
92
VLDP TRN</t>
        </is>
      </c>
      <c r="R400" s="9" t="inlineStr">
        <is>
          <t>133
VLDP TRN
138
VLDP TRN</t>
        </is>
      </c>
      <c r="S400" s="9" t="inlineStr">
        <is>
          <t>H</t>
        </is>
      </c>
      <c r="T400" s="9" t="inlineStr">
        <is>
          <t>MIDNIT</t>
        </is>
      </c>
      <c r="U400" s="9" t="inlineStr">
        <is>
          <t>77
VLDP TRN</t>
        </is>
      </c>
      <c r="V400" s="9" t="inlineStr">
        <is>
          <t>746
VLDP TRN</t>
        </is>
      </c>
      <c r="W400" s="9" t="inlineStr">
        <is>
          <t>H</t>
        </is>
      </c>
      <c r="X400" s="9" t="inlineStr">
        <is>
          <t>CMD
TRN</t>
        </is>
      </c>
      <c r="Y400" s="9" t="inlineStr">
        <is>
          <t>H</t>
        </is>
      </c>
      <c r="Z400" s="9" t="inlineStr">
        <is>
          <t>H</t>
        </is>
      </c>
      <c r="AA400" s="9" t="inlineStr">
        <is>
          <t>H</t>
        </is>
      </c>
      <c r="AB400" s="9" t="inlineStr">
        <is>
          <t>EDU
PH TRN
GMT0</t>
        </is>
      </c>
      <c r="AC400" s="9" t="inlineStr">
        <is>
          <t>PH3
TRN</t>
        </is>
      </c>
      <c r="AD400" s="9" t="inlineStr">
        <is>
          <t>99</t>
        </is>
      </c>
      <c r="AE400" s="9" t="inlineStr">
        <is>
          <t>96</t>
        </is>
      </c>
      <c r="AF400" s="9" t="inlineStr">
        <is>
          <t>H</t>
        </is>
      </c>
      <c r="AG400" s="9" t="inlineStr">
        <is>
          <t>74</t>
        </is>
      </c>
      <c r="AH400" s="9" t="inlineStr">
        <is>
          <t>---</t>
        </is>
      </c>
      <c r="AI400" s="9" t="inlineStr">
        <is>
          <t>73</t>
        </is>
      </c>
      <c r="AJ400" s="9" t="inlineStr">
        <is>
          <t>H/VAC</t>
        </is>
      </c>
    </row>
    <row r="401">
      <c r="A401" s="1" t="inlineStr">
        <is>
          <t>53878-4</t>
        </is>
      </c>
      <c r="B401" s="1" t="inlineStr">
        <is>
          <t>UMEMIYA MA</t>
        </is>
      </c>
      <c r="C401" s="1" t="inlineStr"/>
      <c r="D401" s="1" t="inlineStr"/>
      <c r="E401" s="1" t="n"/>
      <c r="F401" s="9" t="inlineStr"/>
      <c r="G401" s="9">
        <f>HYPERLINK("#Schedule!F58", "市川 TO (41467)")</f>
        <v/>
      </c>
      <c r="H401" s="9">
        <f>HYPERLINK("#Schedule!F58", "市川 TO (41467)")</f>
        <v/>
      </c>
      <c r="I401" s="9">
        <f>HYPERLINK("#Schedule!F58", "市川 TO (41467)")</f>
        <v/>
      </c>
      <c r="J401" s="9">
        <f>HYPERLINK("#Schedule!F138", "I安藤 YU (37725)")</f>
        <v/>
      </c>
      <c r="K401" s="9" t="inlineStr"/>
      <c r="L401" s="9">
        <f>HYPERLINK("#Schedule!F86", "金澤 RY (38560)")</f>
        <v/>
      </c>
      <c r="M401" s="9" t="inlineStr"/>
      <c r="N401" s="9">
        <f>HYPERLINK("#Schedule!F86", "金澤 RY (38560)")</f>
        <v/>
      </c>
      <c r="O401" s="9" t="inlineStr"/>
      <c r="P401" s="9" t="inlineStr"/>
      <c r="Q401" s="9">
        <f>HYPERLINK("#Schedule!F86", "金澤 RY (38560)")</f>
        <v/>
      </c>
      <c r="R401" s="9">
        <f>HYPERLINK("#Schedule!F32", "北川 IC (37702)")</f>
        <v/>
      </c>
      <c r="S401" s="9" t="inlineStr"/>
      <c r="T401" s="9" t="inlineStr"/>
      <c r="U401" s="9">
        <f>HYPERLINK("#Schedule!F32", "北川 IC (37702)")</f>
        <v/>
      </c>
      <c r="V401" s="9">
        <f>HYPERLINK("#Schedule!F32", "北川 IC (37702)")</f>
        <v/>
      </c>
      <c r="W401" s="9" t="inlineStr"/>
      <c r="X401" s="9" t="inlineStr"/>
      <c r="Y401" s="9" t="inlineStr"/>
      <c r="Z401" s="9" t="inlineStr"/>
      <c r="AA401" s="9" t="inlineStr"/>
      <c r="AB401" s="9" t="inlineStr"/>
      <c r="AC401" s="9" t="inlineStr"/>
      <c r="AD401" s="9" t="inlineStr"/>
      <c r="AE401" s="9" t="inlineStr"/>
      <c r="AF401" s="9" t="inlineStr"/>
      <c r="AG401" s="9" t="inlineStr"/>
      <c r="AH401" s="9" t="inlineStr"/>
      <c r="AI401" s="9" t="inlineStr"/>
      <c r="AJ401" s="9" t="inlineStr"/>
    </row>
    <row r="402">
      <c r="A402" s="1" t="inlineStr">
        <is>
          <t>53878-5</t>
        </is>
      </c>
      <c r="B402" s="1" t="inlineStr">
        <is>
          <t>UMEMIYA MA</t>
        </is>
      </c>
      <c r="C402" s="1" t="inlineStr"/>
      <c r="D402" s="1" t="inlineStr"/>
      <c r="E402" s="1" t="n"/>
      <c r="F402" s="9" t="inlineStr"/>
      <c r="G402" s="9" t="inlineStr"/>
      <c r="H402" s="9" t="inlineStr"/>
      <c r="I402" s="9">
        <f>HYPERLINK("#Schedule!F269", "永澤 TA (49245)")</f>
        <v/>
      </c>
      <c r="J402" s="9" t="inlineStr"/>
      <c r="K402" s="9" t="inlineStr"/>
      <c r="L402" s="9" t="inlineStr"/>
      <c r="M402" s="9" t="inlineStr"/>
      <c r="N402" s="9" t="inlineStr"/>
      <c r="O402" s="9" t="inlineStr"/>
      <c r="P402" s="9" t="inlineStr"/>
      <c r="Q402" s="9" t="inlineStr"/>
      <c r="R402" s="9" t="inlineStr"/>
      <c r="S402" s="9" t="inlineStr"/>
      <c r="T402" s="9" t="inlineStr"/>
      <c r="U402" s="9" t="inlineStr"/>
      <c r="V402" s="9" t="inlineStr"/>
      <c r="W402" s="9" t="inlineStr"/>
      <c r="X402" s="9" t="inlineStr"/>
      <c r="Y402" s="9" t="inlineStr"/>
      <c r="Z402" s="9" t="inlineStr"/>
      <c r="AA402" s="9" t="inlineStr"/>
      <c r="AB402" s="9" t="inlineStr"/>
      <c r="AC402" s="9" t="inlineStr"/>
      <c r="AD402" s="9" t="inlineStr"/>
      <c r="AE402" s="9" t="inlineStr"/>
      <c r="AF402" s="9" t="inlineStr"/>
      <c r="AG402" s="9" t="inlineStr"/>
      <c r="AH402" s="9" t="inlineStr"/>
      <c r="AI402" s="9" t="inlineStr"/>
      <c r="AJ402" s="9" t="inlineStr"/>
    </row>
    <row r="403">
      <c r="A403" s="1" t="inlineStr">
        <is>
          <t>53878-6</t>
        </is>
      </c>
      <c r="B403" s="1" t="inlineStr">
        <is>
          <t>UMEMIYA MA</t>
        </is>
      </c>
      <c r="C403" s="1" t="inlineStr"/>
      <c r="D403" s="1" t="inlineStr"/>
      <c r="E403" s="1" t="n"/>
      <c r="F403" s="9" t="inlineStr"/>
      <c r="G403" s="9" t="inlineStr"/>
      <c r="H403" s="9" t="inlineStr"/>
      <c r="I403" s="9">
        <f>HYPERLINK("#Schedule!F392", "HAYASAKAMA (44520)")</f>
        <v/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  <c r="R403" s="9" t="inlineStr"/>
      <c r="S403" s="9" t="inlineStr"/>
      <c r="T403" s="9" t="inlineStr"/>
      <c r="U403" s="9" t="inlineStr"/>
      <c r="V403" s="9" t="inlineStr"/>
      <c r="W403" s="9" t="inlineStr"/>
      <c r="X403" s="9" t="inlineStr"/>
      <c r="Y403" s="9" t="inlineStr"/>
      <c r="Z403" s="9" t="inlineStr"/>
      <c r="AA403" s="9" t="inlineStr"/>
      <c r="AB403" s="9" t="inlineStr"/>
      <c r="AC403" s="9" t="inlineStr"/>
      <c r="AD403" s="9" t="inlineStr"/>
      <c r="AE403" s="9" t="inlineStr"/>
      <c r="AF403" s="9" t="inlineStr"/>
      <c r="AG403" s="9" t="inlineStr"/>
      <c r="AH403" s="9" t="inlineStr"/>
      <c r="AI403" s="9" t="inlineStr"/>
      <c r="AJ403" s="9" t="inlineStr"/>
    </row>
    <row r="404">
      <c r="A404" s="1" t="inlineStr">
        <is>
          <t>41200-1</t>
        </is>
      </c>
      <c r="B404" s="1" t="inlineStr">
        <is>
          <t>NISHIHARA TA</t>
        </is>
      </c>
      <c r="C404" s="1" t="inlineStr"/>
      <c r="D404" s="1" t="inlineStr"/>
      <c r="E404" s="1" t="n">
        <v>37</v>
      </c>
      <c r="F404" s="4" t="inlineStr">
        <is>
          <t>NISHIHARATA</t>
        </is>
      </c>
      <c r="G404" s="4" t="inlineStr">
        <is>
          <t>TA</t>
        </is>
      </c>
      <c r="H404" s="4" t="inlineStr">
        <is>
          <t>機種：</t>
        </is>
      </c>
      <c r="I404" s="4" t="inlineStr">
        <is>
          <t>787</t>
        </is>
      </c>
      <c r="J404" s="4" t="inlineStr">
        <is>
          <t>ランク：</t>
        </is>
      </c>
      <c r="K404" s="4" t="inlineStr">
        <is>
          <t>FO</t>
        </is>
      </c>
      <c r="L404" s="4" t="inlineStr">
        <is>
          <t>期：</t>
        </is>
      </c>
      <c r="M404" s="4" t="inlineStr">
        <is>
          <t>037</t>
        </is>
      </c>
      <c r="N404" s="4" t="inlineStr">
        <is>
          <t>職番：</t>
        </is>
      </c>
      <c r="O404" s="4" t="inlineStr">
        <is>
          <t>00041200</t>
        </is>
      </c>
      <c r="P404" s="4" t="inlineStr">
        <is>
          <t>所属：</t>
        </is>
      </c>
      <c r="Q404" s="4" t="inlineStr">
        <is>
          <t>NWZNW</t>
        </is>
      </c>
      <c r="R404" s="4" t="inlineStr">
        <is>
          <t>CAT資：</t>
        </is>
      </c>
      <c r="S404" s="4" t="inlineStr">
        <is>
          <t>CAT3</t>
        </is>
      </c>
      <c r="T404" s="4" t="inlineStr">
        <is>
          <t>T/O：</t>
        </is>
      </c>
      <c r="U404" s="4" t="inlineStr">
        <is>
          <t>3T251006</t>
        </is>
      </c>
      <c r="V404" s="4" t="inlineStr">
        <is>
          <t>L/D：</t>
        </is>
      </c>
      <c r="W404" s="4" t="inlineStr">
        <is>
          <t>3L251006</t>
        </is>
      </c>
      <c r="X404" s="4" t="inlineStr">
        <is>
          <t>PE：</t>
        </is>
      </c>
      <c r="Y404" s="5" t="inlineStr">
        <is>
          <t>PE250817</t>
        </is>
      </c>
      <c r="Z404" s="4" t="inlineStr">
        <is>
          <t>誕生月：</t>
        </is>
      </c>
      <c r="AA404" s="4" t="inlineStr">
        <is>
          <t>08</t>
        </is>
      </c>
      <c r="AB404" s="6" t="inlineStr">
        <is>
          <t>電話：</t>
        </is>
      </c>
      <c r="AC404" s="6" t="inlineStr">
        <is>
          <t>090-7635-0672</t>
        </is>
      </c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</row>
    <row r="405">
      <c r="A405" s="1" t="inlineStr">
        <is>
          <t>41200-2</t>
        </is>
      </c>
      <c r="B405" s="1" t="inlineStr">
        <is>
          <t>NISHIHARA TA</t>
        </is>
      </c>
      <c r="C405" s="1" t="inlineStr"/>
      <c r="D405" s="1" t="inlineStr"/>
      <c r="E405" s="1" t="n">
        <v>37</v>
      </c>
      <c r="F405" s="12" t="inlineStr">
        <is>
          <t>01</t>
        </is>
      </c>
      <c r="G405" s="7" t="inlineStr">
        <is>
          <t>02</t>
        </is>
      </c>
      <c r="H405" s="14" t="inlineStr">
        <is>
          <t>03</t>
        </is>
      </c>
      <c r="I405" s="13" t="inlineStr">
        <is>
          <t>04</t>
        </is>
      </c>
      <c r="J405" s="7" t="inlineStr">
        <is>
          <t>05</t>
        </is>
      </c>
      <c r="K405" s="7" t="inlineStr">
        <is>
          <t>06</t>
        </is>
      </c>
      <c r="L405" s="7" t="inlineStr">
        <is>
          <t>07</t>
        </is>
      </c>
      <c r="M405" s="13" t="inlineStr">
        <is>
          <t>08</t>
        </is>
      </c>
      <c r="N405" s="7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8" t="inlineStr">
        <is>
          <t>17</t>
        </is>
      </c>
      <c r="W405" s="7" t="inlineStr">
        <is>
          <t>18</t>
        </is>
      </c>
      <c r="X405" s="8" t="inlineStr">
        <is>
          <t>19</t>
        </is>
      </c>
      <c r="Y405" s="8" t="inlineStr">
        <is>
          <t>20</t>
        </is>
      </c>
      <c r="Z405" s="7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8" t="inlineStr">
        <is>
          <t>24</t>
        </is>
      </c>
      <c r="AD405" s="7" t="inlineStr">
        <is>
          <t>25</t>
        </is>
      </c>
      <c r="AE405" s="8" t="inlineStr">
        <is>
          <t>26</t>
        </is>
      </c>
      <c r="AF405" s="8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8" t="inlineStr">
        <is>
          <t>30</t>
        </is>
      </c>
      <c r="AJ405" s="8" t="inlineStr">
        <is>
          <t>31</t>
        </is>
      </c>
    </row>
    <row r="406">
      <c r="A406" s="1" t="inlineStr">
        <is>
          <t>41200-3</t>
        </is>
      </c>
      <c r="B406" s="1" t="inlineStr">
        <is>
          <t>NISHIHARA TA</t>
        </is>
      </c>
      <c r="C406" s="1" t="inlineStr"/>
      <c r="D406" s="1" t="inlineStr"/>
      <c r="E406" s="1" t="n">
        <v>37</v>
      </c>
      <c r="F406" s="9" t="inlineStr">
        <is>
          <t>M12
TRN
#2
11:00-15:00</t>
        </is>
      </c>
      <c r="G406" s="9" t="inlineStr">
        <is>
          <t>H</t>
        </is>
      </c>
      <c r="H406" s="9" t="inlineStr">
        <is>
          <t>PH3
TRN</t>
        </is>
      </c>
      <c r="I406" s="9" t="inlineStr">
        <is>
          <t>EDU
PH TRN</t>
        </is>
      </c>
      <c r="J406" s="9" t="inlineStr">
        <is>
          <t>VAC</t>
        </is>
      </c>
      <c r="K406" s="9" t="inlineStr">
        <is>
          <t>HH</t>
        </is>
      </c>
      <c r="L406" s="9" t="inlineStr">
        <is>
          <t>HH</t>
        </is>
      </c>
      <c r="M406" s="9" t="inlineStr">
        <is>
          <t>RCBT
CBT1 TRN
GS
GS-C TRN
DIT
DIT TRN</t>
        </is>
      </c>
      <c r="N406" s="9" t="inlineStr">
        <is>
          <t>CMD
TRN
#2
09:00-13:00</t>
        </is>
      </c>
      <c r="O406" s="9" t="inlineStr">
        <is>
          <t>H</t>
        </is>
      </c>
      <c r="P406" s="9" t="inlineStr">
        <is>
          <t>PE
PE TRN
PE
PE TRN</t>
        </is>
      </c>
      <c r="Q406" s="9" t="inlineStr">
        <is>
          <t>759</t>
        </is>
      </c>
      <c r="R406" s="9" t="inlineStr">
        <is>
          <t>---</t>
        </is>
      </c>
      <c r="S406" s="9" t="inlineStr">
        <is>
          <t>70</t>
        </is>
      </c>
      <c r="T406" s="9" t="inlineStr">
        <is>
          <t>*H</t>
        </is>
      </c>
      <c r="U406" s="9" t="inlineStr">
        <is>
          <t>H</t>
        </is>
      </c>
      <c r="V406" s="9" t="inlineStr">
        <is>
          <t>133
CMD TRN
138
CMD TRN</t>
        </is>
      </c>
      <c r="W406" s="9" t="inlineStr">
        <is>
          <t>RF</t>
        </is>
      </c>
      <c r="X406" s="9" t="inlineStr">
        <is>
          <t>735
CMD TRN</t>
        </is>
      </c>
      <c r="Y406" s="9" t="inlineStr">
        <is>
          <t>26
CMD TRN</t>
        </is>
      </c>
      <c r="Z406" s="9" t="inlineStr">
        <is>
          <t>GMT0</t>
        </is>
      </c>
      <c r="AA406" s="9" t="inlineStr">
        <is>
          <t>H</t>
        </is>
      </c>
      <c r="AB406" s="9" t="inlineStr">
        <is>
          <t>H</t>
        </is>
      </c>
      <c r="AC406" s="9" t="inlineStr">
        <is>
          <t>95
CMD TRN</t>
        </is>
      </c>
      <c r="AD406" s="9" t="inlineStr">
        <is>
          <t>---</t>
        </is>
      </c>
      <c r="AE406" s="9" t="inlineStr">
        <is>
          <t>90
CMD TRN
225DH</t>
        </is>
      </c>
      <c r="AF406" s="9" t="inlineStr">
        <is>
          <t>891
CMD TRN
894
CMD TRN
134DH</t>
        </is>
      </c>
      <c r="AG406" s="9" t="inlineStr">
        <is>
          <t>H</t>
        </is>
      </c>
      <c r="AH406" s="9" t="inlineStr">
        <is>
          <t>H</t>
        </is>
      </c>
      <c r="AI406" s="9" t="inlineStr">
        <is>
          <t>139
CMD TRN</t>
        </is>
      </c>
      <c r="AJ406" s="9" t="inlineStr">
        <is>
          <t>116
CMD TRN
125
CMD TRN
128
CMD TRN</t>
        </is>
      </c>
    </row>
    <row r="407">
      <c r="A407" s="1" t="inlineStr">
        <is>
          <t>41200-4</t>
        </is>
      </c>
      <c r="B407" s="1" t="inlineStr">
        <is>
          <t>NISHIHARA TA</t>
        </is>
      </c>
      <c r="C407" s="1" t="inlineStr"/>
      <c r="D407" s="1" t="inlineStr"/>
      <c r="E407" s="1" t="n"/>
      <c r="F407" s="9">
        <f>HYPERLINK("#Schedule!F32", "I北川 IC (37702)")</f>
        <v/>
      </c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>
        <f>HYPERLINK("#Schedule!F133", "I岡 HD (36149)")</f>
        <v/>
      </c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>
        <f>HYPERLINK("#Schedule!F53", "新野 TO (41373)")</f>
        <v/>
      </c>
      <c r="W407" s="9" t="inlineStr"/>
      <c r="X407" s="9">
        <f>HYPERLINK("#Schedule!F169", "今井 HI (49241)")</f>
        <v/>
      </c>
      <c r="Y407" s="9">
        <f>HYPERLINK("#Schedule!F169", "今井 HI (49241)")</f>
        <v/>
      </c>
      <c r="Z407" s="9" t="inlineStr"/>
      <c r="AA407" s="9" t="inlineStr"/>
      <c r="AB407" s="9" t="inlineStr"/>
      <c r="AC407" s="9">
        <f>HYPERLINK("#Schedule!F64", "儀同 TO (43998)")</f>
        <v/>
      </c>
      <c r="AD407" s="9" t="inlineStr"/>
      <c r="AE407" s="9">
        <f>HYPERLINK("#Schedule!F64", "儀同 TO (43998)")</f>
        <v/>
      </c>
      <c r="AF407" s="9">
        <f>HYPERLINK("#Schedule!F64", "儀同 TO (43998)")</f>
        <v/>
      </c>
      <c r="AG407" s="9" t="inlineStr"/>
      <c r="AH407" s="9" t="inlineStr"/>
      <c r="AI407" s="9">
        <f>HYPERLINK("#Schedule!F260", "麻生 KA (41365)")</f>
        <v/>
      </c>
      <c r="AJ407" s="9">
        <f>HYPERLINK("#Schedule!F260", "麻生 KA (41365)")</f>
        <v/>
      </c>
    </row>
    <row r="408">
      <c r="A408" s="1" t="inlineStr">
        <is>
          <t>45109-1</t>
        </is>
      </c>
      <c r="B408" s="1" t="inlineStr">
        <is>
          <t>ISHIGURO KA</t>
        </is>
      </c>
      <c r="C408" s="1" t="inlineStr"/>
      <c r="D408" s="1" t="inlineStr"/>
      <c r="E408" s="1" t="n">
        <v>153</v>
      </c>
      <c r="F408" s="4" t="inlineStr">
        <is>
          <t>ISHIGUROKA</t>
        </is>
      </c>
      <c r="G408" s="4" t="inlineStr">
        <is>
          <t>KA</t>
        </is>
      </c>
      <c r="H408" s="4" t="inlineStr">
        <is>
          <t>機種：</t>
        </is>
      </c>
      <c r="I408" s="4" t="inlineStr">
        <is>
          <t>787</t>
        </is>
      </c>
      <c r="J408" s="4" t="inlineStr">
        <is>
          <t>ランク：</t>
        </is>
      </c>
      <c r="K408" s="4" t="inlineStr">
        <is>
          <t>FO</t>
        </is>
      </c>
      <c r="L408" s="4" t="inlineStr">
        <is>
          <t>期：</t>
        </is>
      </c>
      <c r="M408" s="4" t="inlineStr">
        <is>
          <t>153</t>
        </is>
      </c>
      <c r="N408" s="4" t="inlineStr">
        <is>
          <t>職番：</t>
        </is>
      </c>
      <c r="O408" s="4" t="inlineStr">
        <is>
          <t>00045109</t>
        </is>
      </c>
      <c r="P408" s="4" t="inlineStr">
        <is>
          <t>所属：</t>
        </is>
      </c>
      <c r="Q408" s="4" t="inlineStr">
        <is>
          <t>NWZNW</t>
        </is>
      </c>
      <c r="R408" s="4" t="inlineStr">
        <is>
          <t>CAT資：</t>
        </is>
      </c>
      <c r="S408" s="4" t="inlineStr">
        <is>
          <t>CAT3</t>
        </is>
      </c>
      <c r="T408" s="4" t="inlineStr">
        <is>
          <t>T/O：</t>
        </is>
      </c>
      <c r="U408" s="4" t="inlineStr">
        <is>
          <t>3T251009</t>
        </is>
      </c>
      <c r="V408" s="4" t="inlineStr">
        <is>
          <t>L/D：</t>
        </is>
      </c>
      <c r="W408" s="4" t="inlineStr">
        <is>
          <t>3L251009</t>
        </is>
      </c>
      <c r="X408" s="4" t="inlineStr">
        <is>
          <t>PE：</t>
        </is>
      </c>
      <c r="Y408" s="5" t="inlineStr">
        <is>
          <t>PE260417</t>
        </is>
      </c>
      <c r="Z408" s="4" t="inlineStr">
        <is>
          <t>誕生月：</t>
        </is>
      </c>
      <c r="AA408" s="4" t="inlineStr">
        <is>
          <t>09</t>
        </is>
      </c>
      <c r="AB408" s="6" t="inlineStr">
        <is>
          <t>電話：</t>
        </is>
      </c>
      <c r="AC408" s="6" t="inlineStr">
        <is>
          <t>090-8801-0744</t>
        </is>
      </c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</row>
    <row r="409">
      <c r="A409" s="1" t="inlineStr">
        <is>
          <t>45109-2</t>
        </is>
      </c>
      <c r="B409" s="1" t="inlineStr">
        <is>
          <t>ISHIGURO KA</t>
        </is>
      </c>
      <c r="C409" s="1" t="inlineStr"/>
      <c r="D409" s="1" t="inlineStr"/>
      <c r="E409" s="1" t="n">
        <v>153</v>
      </c>
      <c r="F409" s="7" t="inlineStr">
        <is>
          <t>01</t>
        </is>
      </c>
      <c r="G409" s="13" t="inlineStr">
        <is>
          <t>02</t>
        </is>
      </c>
      <c r="H409" s="7" t="inlineStr">
        <is>
          <t>03</t>
        </is>
      </c>
      <c r="I409" s="8" t="inlineStr">
        <is>
          <t>04</t>
        </is>
      </c>
      <c r="J409" s="8" t="inlineStr">
        <is>
          <t>05</t>
        </is>
      </c>
      <c r="K409" s="7" t="inlineStr">
        <is>
          <t>06</t>
        </is>
      </c>
      <c r="L409" s="7" t="inlineStr">
        <is>
          <t>07</t>
        </is>
      </c>
      <c r="M409" s="7" t="inlineStr">
        <is>
          <t>08</t>
        </is>
      </c>
      <c r="N409" s="8" t="inlineStr">
        <is>
          <t>09</t>
        </is>
      </c>
      <c r="O409" s="7" t="inlineStr">
        <is>
          <t>10</t>
        </is>
      </c>
      <c r="P409" s="7" t="inlineStr">
        <is>
          <t>11</t>
        </is>
      </c>
      <c r="Q409" s="7" t="inlineStr">
        <is>
          <t>12</t>
        </is>
      </c>
      <c r="R409" s="7" t="inlineStr">
        <is>
          <t>13</t>
        </is>
      </c>
      <c r="S409" s="7" t="inlineStr">
        <is>
          <t>14</t>
        </is>
      </c>
      <c r="T409" s="7" t="inlineStr">
        <is>
          <t>15</t>
        </is>
      </c>
      <c r="U409" s="8" t="inlineStr">
        <is>
          <t>16</t>
        </is>
      </c>
      <c r="V409" s="8" t="inlineStr">
        <is>
          <t>17</t>
        </is>
      </c>
      <c r="W409" s="7" t="inlineStr">
        <is>
          <t>18</t>
        </is>
      </c>
      <c r="X409" s="14" t="inlineStr">
        <is>
          <t>19</t>
        </is>
      </c>
      <c r="Y409" s="8" t="inlineStr">
        <is>
          <t>20</t>
        </is>
      </c>
      <c r="Z409" s="7" t="inlineStr">
        <is>
          <t>21</t>
        </is>
      </c>
      <c r="AA409" s="8" t="inlineStr">
        <is>
          <t>22</t>
        </is>
      </c>
      <c r="AB409" s="7" t="inlineStr">
        <is>
          <t>23</t>
        </is>
      </c>
      <c r="AC409" s="7" t="inlineStr">
        <is>
          <t>24</t>
        </is>
      </c>
      <c r="AD409" s="7" t="inlineStr">
        <is>
          <t>25</t>
        </is>
      </c>
      <c r="AE409" s="7" t="inlineStr">
        <is>
          <t>26</t>
        </is>
      </c>
      <c r="AF409" s="8" t="inlineStr">
        <is>
          <t>27</t>
        </is>
      </c>
      <c r="AG409" s="8" t="inlineStr">
        <is>
          <t>28</t>
        </is>
      </c>
      <c r="AH409" s="7" t="inlineStr">
        <is>
          <t>29</t>
        </is>
      </c>
      <c r="AI409" s="7" t="inlineStr">
        <is>
          <t>30</t>
        </is>
      </c>
      <c r="AJ409" s="8" t="inlineStr">
        <is>
          <t>31</t>
        </is>
      </c>
    </row>
    <row r="410">
      <c r="A410" s="1" t="inlineStr">
        <is>
          <t>45109-3</t>
        </is>
      </c>
      <c r="B410" s="1" t="inlineStr">
        <is>
          <t>ISHIGURO KA</t>
        </is>
      </c>
      <c r="C410" s="1" t="inlineStr"/>
      <c r="D410" s="1" t="inlineStr"/>
      <c r="E410" s="1" t="n">
        <v>153</v>
      </c>
      <c r="F410" s="9" t="inlineStr">
        <is>
          <t>H</t>
        </is>
      </c>
      <c r="G410" s="9" t="inlineStr">
        <is>
          <t>RCBT
CBT1 TRN
GS
GS-C TRN
DIT
DIT TRN</t>
        </is>
      </c>
      <c r="H410" s="9" t="inlineStr">
        <is>
          <t>CMD
TRN
#2
19:00-21:00</t>
        </is>
      </c>
      <c r="I410" s="9" t="inlineStr">
        <is>
          <t>735
CMD TRN</t>
        </is>
      </c>
      <c r="J410" s="9" t="inlineStr">
        <is>
          <t>26
CMD TRN</t>
        </is>
      </c>
      <c r="K410" s="9" t="inlineStr">
        <is>
          <t>HH</t>
        </is>
      </c>
      <c r="L410" s="9" t="inlineStr">
        <is>
          <t>HH</t>
        </is>
      </c>
      <c r="M410" s="9" t="inlineStr">
        <is>
          <t>CMD
TRN</t>
        </is>
      </c>
      <c r="N410" s="9" t="inlineStr">
        <is>
          <t>93
CMD TRN
94
CMD TRN</t>
        </is>
      </c>
      <c r="O410" s="9" t="inlineStr">
        <is>
          <t>H</t>
        </is>
      </c>
      <c r="P410" s="9" t="inlineStr">
        <is>
          <t>H</t>
        </is>
      </c>
      <c r="Q410" s="9" t="inlineStr">
        <is>
          <t>CMD
TRN
#2
18:00-20:00</t>
        </is>
      </c>
      <c r="R410" s="9" t="inlineStr">
        <is>
          <t>H</t>
        </is>
      </c>
      <c r="S410" s="9" t="inlineStr">
        <is>
          <t>CMD
TRN</t>
        </is>
      </c>
      <c r="T410" s="9" t="inlineStr">
        <is>
          <t>MIDNIT</t>
        </is>
      </c>
      <c r="U410" s="9" t="inlineStr">
        <is>
          <t>79
CMD TRN</t>
        </is>
      </c>
      <c r="V410" s="9" t="inlineStr">
        <is>
          <t>750
CMD TRN</t>
        </is>
      </c>
      <c r="W410" s="9" t="inlineStr">
        <is>
          <t>H/VAC</t>
        </is>
      </c>
      <c r="X410" s="9" t="inlineStr">
        <is>
          <t>PH3
TRN</t>
        </is>
      </c>
      <c r="Y410" s="9" t="inlineStr">
        <is>
          <t>23
CMD TRN
24
CMD TRN</t>
        </is>
      </c>
      <c r="Z410" s="9" t="inlineStr">
        <is>
          <t>GMT0</t>
        </is>
      </c>
      <c r="AA410" s="9" t="inlineStr">
        <is>
          <t>133
CMD TRN
138
CMD TRN</t>
        </is>
      </c>
      <c r="AB410" s="9" t="inlineStr">
        <is>
          <t>H/VAC</t>
        </is>
      </c>
      <c r="AC410" s="9" t="inlineStr">
        <is>
          <t>H/VAC</t>
        </is>
      </c>
      <c r="AD410" s="9" t="inlineStr">
        <is>
          <t>VAC</t>
        </is>
      </c>
      <c r="AE410" s="9" t="inlineStr">
        <is>
          <t>VAC</t>
        </is>
      </c>
      <c r="AF410" s="9" t="inlineStr">
        <is>
          <t>87
CMD TRN</t>
        </is>
      </c>
      <c r="AG410" s="9" t="inlineStr">
        <is>
          <t>88
CMD TRN</t>
        </is>
      </c>
      <c r="AH410" s="9" t="inlineStr">
        <is>
          <t>H</t>
        </is>
      </c>
      <c r="AI410" s="9" t="inlineStr">
        <is>
          <t>EGT
EGT TRN</t>
        </is>
      </c>
      <c r="AJ410" s="9" t="inlineStr">
        <is>
          <t>133
CMD TRN
138
CMD TRN</t>
        </is>
      </c>
    </row>
    <row r="411">
      <c r="A411" s="1" t="inlineStr">
        <is>
          <t>45109-4</t>
        </is>
      </c>
      <c r="B411" s="1" t="inlineStr">
        <is>
          <t>ISHIGURO KA</t>
        </is>
      </c>
      <c r="C411" s="1" t="inlineStr"/>
      <c r="D411" s="1" t="inlineStr"/>
      <c r="E411" s="1" t="n"/>
      <c r="F411" s="9" t="inlineStr"/>
      <c r="G411" s="9" t="inlineStr"/>
      <c r="H411" s="9">
        <f>HYPERLINK("#Schedule!F53", "I新野 TO (41373)")</f>
        <v/>
      </c>
      <c r="I411" s="9">
        <f>HYPERLINK("#Schedule!F238", "小林 NO (67670)")</f>
        <v/>
      </c>
      <c r="J411" s="9">
        <f>HYPERLINK("#Schedule!F238", "小林 NO (67670)")</f>
        <v/>
      </c>
      <c r="K411" s="9" t="inlineStr"/>
      <c r="L411" s="9" t="inlineStr"/>
      <c r="M411" s="9" t="inlineStr"/>
      <c r="N411" s="9">
        <f>HYPERLINK("#Schedule!F119", "川瀨 HI (67211)")</f>
        <v/>
      </c>
      <c r="O411" s="9" t="inlineStr"/>
      <c r="P411" s="9" t="inlineStr"/>
      <c r="Q411" s="9">
        <f>HYPERLINK("#Schedule!F73", "I木村  (41574)")</f>
        <v/>
      </c>
      <c r="R411" s="9" t="inlineStr"/>
      <c r="S411" s="9" t="inlineStr"/>
      <c r="T411" s="9" t="inlineStr"/>
      <c r="U411" s="9">
        <f>HYPERLINK("#Schedule!F221", "中村TS (48009)")</f>
        <v/>
      </c>
      <c r="V411" s="9">
        <f>HYPERLINK("#Schedule!F221", "中村TS (48009)")</f>
        <v/>
      </c>
      <c r="W411" s="9" t="inlineStr"/>
      <c r="X411" s="9" t="inlineStr"/>
      <c r="Y411" s="9">
        <f>HYPERLINK("#Schedule!F53", "新野 TO (41373)")</f>
        <v/>
      </c>
      <c r="Z411" s="9" t="inlineStr"/>
      <c r="AA411" s="9">
        <f>HYPERLINK("#Schedule!F152", "小原 TA (39676)")</f>
        <v/>
      </c>
      <c r="AB411" s="9" t="inlineStr"/>
      <c r="AC411" s="9" t="inlineStr"/>
      <c r="AD411" s="9" t="inlineStr"/>
      <c r="AE411" s="9" t="inlineStr"/>
      <c r="AF411" s="9">
        <f>HYPERLINK("#Schedule!F160", "岡本 KA (41662)")</f>
        <v/>
      </c>
      <c r="AG411" s="9">
        <f>HYPERLINK("#Schedule!F160", "岡本 KA (41662)")</f>
        <v/>
      </c>
      <c r="AH411" s="9" t="inlineStr"/>
      <c r="AI411" s="9" t="inlineStr"/>
      <c r="AJ411" s="9">
        <f>HYPERLINK("#Schedule!F234", "富川 MA (67428)")</f>
        <v/>
      </c>
    </row>
    <row r="412">
      <c r="A412" s="1" t="inlineStr">
        <is>
          <t>51871-1</t>
        </is>
      </c>
      <c r="B412" s="1" t="inlineStr">
        <is>
          <t>MATSUDA MA</t>
        </is>
      </c>
      <c r="C412" s="1" t="inlineStr"/>
      <c r="D412" s="1" t="inlineStr"/>
      <c r="E412" s="1" t="n">
        <v>219</v>
      </c>
      <c r="F412" s="4" t="inlineStr">
        <is>
          <t>MATSUDAMA</t>
        </is>
      </c>
      <c r="G412" s="4" t="inlineStr">
        <is>
          <t>MA</t>
        </is>
      </c>
      <c r="H412" s="4" t="inlineStr">
        <is>
          <t>機種：</t>
        </is>
      </c>
      <c r="I412" s="4" t="inlineStr">
        <is>
          <t>787</t>
        </is>
      </c>
      <c r="J412" s="4" t="inlineStr">
        <is>
          <t>ランク：</t>
        </is>
      </c>
      <c r="K412" s="4" t="inlineStr">
        <is>
          <t>FO</t>
        </is>
      </c>
      <c r="L412" s="4" t="inlineStr">
        <is>
          <t>期：</t>
        </is>
      </c>
      <c r="M412" s="4" t="inlineStr">
        <is>
          <t>219</t>
        </is>
      </c>
      <c r="N412" s="4" t="inlineStr">
        <is>
          <t>職番：</t>
        </is>
      </c>
      <c r="O412" s="4" t="inlineStr">
        <is>
          <t>00051871</t>
        </is>
      </c>
      <c r="P412" s="4" t="inlineStr">
        <is>
          <t>所属：</t>
        </is>
      </c>
      <c r="Q412" s="4" t="inlineStr">
        <is>
          <t>NWZNW</t>
        </is>
      </c>
      <c r="R412" s="4" t="inlineStr">
        <is>
          <t>CAT資：</t>
        </is>
      </c>
      <c r="S412" s="4" t="inlineStr">
        <is>
          <t>CAT3</t>
        </is>
      </c>
      <c r="T412" s="4" t="inlineStr">
        <is>
          <t>T/O：</t>
        </is>
      </c>
      <c r="U412" s="4" t="inlineStr">
        <is>
          <t>3T251009</t>
        </is>
      </c>
      <c r="V412" s="4" t="inlineStr">
        <is>
          <t>L/D：</t>
        </is>
      </c>
      <c r="W412" s="4" t="inlineStr">
        <is>
          <t>3L251009</t>
        </is>
      </c>
      <c r="X412" s="4" t="inlineStr">
        <is>
          <t>PE：</t>
        </is>
      </c>
      <c r="Y412" s="5" t="inlineStr">
        <is>
          <t>PE251027</t>
        </is>
      </c>
      <c r="Z412" s="4" t="inlineStr">
        <is>
          <t>誕生月：</t>
        </is>
      </c>
      <c r="AA412" s="4" t="inlineStr">
        <is>
          <t>01</t>
        </is>
      </c>
      <c r="AB412" s="6" t="inlineStr">
        <is>
          <t>電話：</t>
        </is>
      </c>
      <c r="AC412" s="6" t="inlineStr">
        <is>
          <t>090-5567-8107</t>
        </is>
      </c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</row>
    <row r="413">
      <c r="A413" s="1" t="inlineStr">
        <is>
          <t>51871-2</t>
        </is>
      </c>
      <c r="B413" s="1" t="inlineStr">
        <is>
          <t>MATSUDA MA</t>
        </is>
      </c>
      <c r="C413" s="1" t="inlineStr"/>
      <c r="D413" s="1" t="inlineStr"/>
      <c r="E413" s="1" t="n">
        <v>219</v>
      </c>
      <c r="F413" s="8" t="inlineStr">
        <is>
          <t>01</t>
        </is>
      </c>
      <c r="G413" s="7" t="inlineStr">
        <is>
          <t>02</t>
        </is>
      </c>
      <c r="H413" s="8" t="inlineStr">
        <is>
          <t>03</t>
        </is>
      </c>
      <c r="I413" s="8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8" t="inlineStr">
        <is>
          <t>07</t>
        </is>
      </c>
      <c r="M413" s="7" t="inlineStr">
        <is>
          <t>08</t>
        </is>
      </c>
      <c r="N413" s="8" t="inlineStr">
        <is>
          <t>09</t>
        </is>
      </c>
      <c r="O413" s="7" t="inlineStr">
        <is>
          <t>10</t>
        </is>
      </c>
      <c r="P413" s="8" t="inlineStr">
        <is>
          <t>11</t>
        </is>
      </c>
      <c r="Q413" s="8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7" t="inlineStr">
        <is>
          <t>15</t>
        </is>
      </c>
      <c r="U413" s="7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7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7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14" t="inlineStr">
        <is>
          <t>25</t>
        </is>
      </c>
      <c r="AE413" s="14" t="inlineStr">
        <is>
          <t>26</t>
        </is>
      </c>
      <c r="AF413" s="7" t="inlineStr">
        <is>
          <t>27</t>
        </is>
      </c>
      <c r="AG413" s="12" t="inlineStr">
        <is>
          <t>28</t>
        </is>
      </c>
      <c r="AH413" s="12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51871-3</t>
        </is>
      </c>
      <c r="B414" s="1" t="inlineStr">
        <is>
          <t>MATSUDA MA</t>
        </is>
      </c>
      <c r="C414" s="1" t="inlineStr"/>
      <c r="D414" s="1" t="inlineStr"/>
      <c r="E414" s="1" t="n">
        <v>219</v>
      </c>
      <c r="F414" s="9" t="inlineStr">
        <is>
          <t>95
VLDE TRN</t>
        </is>
      </c>
      <c r="G414" s="9" t="inlineStr">
        <is>
          <t>---</t>
        </is>
      </c>
      <c r="H414" s="9" t="inlineStr">
        <is>
          <t>90
VLDE TRN
225DH</t>
        </is>
      </c>
      <c r="I414" s="9" t="inlineStr">
        <is>
          <t>891
VLDE TRN
894
VLDE TRN
134DH</t>
        </is>
      </c>
      <c r="J414" s="9" t="inlineStr">
        <is>
          <t>*H</t>
        </is>
      </c>
      <c r="K414" s="9" t="inlineStr">
        <is>
          <t>H</t>
        </is>
      </c>
      <c r="L414" s="9" t="inlineStr">
        <is>
          <t>745
VLDE TRN</t>
        </is>
      </c>
      <c r="M414" s="9" t="inlineStr">
        <is>
          <t>---</t>
        </is>
      </c>
      <c r="N414" s="9" t="inlineStr">
        <is>
          <t>78
VLDE TRN</t>
        </is>
      </c>
      <c r="O414" s="9" t="inlineStr">
        <is>
          <t>H</t>
        </is>
      </c>
      <c r="P414" s="9" t="inlineStr">
        <is>
          <t>505
VLDE TRN
506
VLDE TRN
517
VLDE TRN</t>
        </is>
      </c>
      <c r="Q414" s="9" t="inlineStr">
        <is>
          <t>516
VLDE TRN
527
VLDE TRN
528
VLDE TRN</t>
        </is>
      </c>
      <c r="R414" s="9" t="inlineStr">
        <is>
          <t>H</t>
        </is>
      </c>
      <c r="S414" s="9" t="inlineStr">
        <is>
          <t>H</t>
        </is>
      </c>
      <c r="T414" s="9" t="inlineStr">
        <is>
          <t>68</t>
        </is>
      </c>
      <c r="U414" s="9" t="inlineStr">
        <is>
          <t>---</t>
        </is>
      </c>
      <c r="V414" s="9" t="inlineStr">
        <is>
          <t>67</t>
        </is>
      </c>
      <c r="W414" s="9" t="inlineStr">
        <is>
          <t>HH</t>
        </is>
      </c>
      <c r="X414" s="9" t="inlineStr">
        <is>
          <t>HH</t>
        </is>
      </c>
      <c r="Y414" s="9" t="inlineStr">
        <is>
          <t>VACN</t>
        </is>
      </c>
      <c r="Z414" s="9" t="inlineStr">
        <is>
          <t>725</t>
        </is>
      </c>
      <c r="AA414" s="9" t="inlineStr">
        <is>
          <t>---</t>
        </is>
      </c>
      <c r="AB414" s="9" t="inlineStr">
        <is>
          <t>726</t>
        </is>
      </c>
      <c r="AC414" s="9" t="inlineStr">
        <is>
          <t>H</t>
        </is>
      </c>
      <c r="AD414" s="9" t="inlineStr">
        <is>
          <t>PH3
TRN</t>
        </is>
      </c>
      <c r="AE414" s="9" t="inlineStr">
        <is>
          <t>PH3
TRN
#2
19:00-23:00</t>
        </is>
      </c>
      <c r="AF414" s="9" t="inlineStr">
        <is>
          <t>H</t>
        </is>
      </c>
      <c r="AG414" s="9" t="inlineStr">
        <is>
          <t>M11
TRN
#1
16:00-17:00</t>
        </is>
      </c>
      <c r="AH414" s="9" t="inlineStr">
        <is>
          <t>M12
TRN
#2
19:00-23:00</t>
        </is>
      </c>
      <c r="AI414" s="9" t="inlineStr">
        <is>
          <t>H</t>
        </is>
      </c>
      <c r="AJ414" s="9" t="inlineStr">
        <is>
          <t>H</t>
        </is>
      </c>
    </row>
    <row r="415">
      <c r="A415" s="1" t="inlineStr">
        <is>
          <t>51871-4</t>
        </is>
      </c>
      <c r="B415" s="1" t="inlineStr">
        <is>
          <t>MATSUDA MA</t>
        </is>
      </c>
      <c r="C415" s="1" t="inlineStr"/>
      <c r="D415" s="1" t="inlineStr"/>
      <c r="E415" s="1" t="n"/>
      <c r="F415" s="9">
        <f>HYPERLINK("#Schedule!F73", "木村  (41574)")</f>
        <v/>
      </c>
      <c r="G415" s="9" t="inlineStr"/>
      <c r="H415" s="9">
        <f>HYPERLINK("#Schedule!F73", "木村  (41574)")</f>
        <v/>
      </c>
      <c r="I415" s="9">
        <f>HYPERLINK("#Schedule!F73", "木村  (41574)")</f>
        <v/>
      </c>
      <c r="J415" s="9" t="inlineStr"/>
      <c r="K415" s="9" t="inlineStr"/>
      <c r="L415" s="9">
        <f>HYPERLINK("#Schedule!F123", "田二見 SH (49377)")</f>
        <v/>
      </c>
      <c r="M415" s="9" t="inlineStr"/>
      <c r="N415" s="9">
        <f>HYPERLINK("#Schedule!F123", "田二見 SH (49377)")</f>
        <v/>
      </c>
      <c r="O415" s="9" t="inlineStr"/>
      <c r="P415" s="9">
        <f>HYPERLINK("#Schedule!F41", "加藤 TK (36749)")</f>
        <v/>
      </c>
      <c r="Q415" s="9">
        <f>HYPERLINK("#Schedule!F41", "加藤 TK (36749)")</f>
        <v/>
      </c>
      <c r="R415" s="9" t="inlineStr"/>
      <c r="S415" s="9" t="inlineStr"/>
      <c r="T415" s="9" t="inlineStr"/>
      <c r="U415" s="9" t="inlineStr"/>
      <c r="V415" s="9" t="inlineStr"/>
      <c r="W415" s="9" t="inlineStr"/>
      <c r="X415" s="9" t="inlineStr"/>
      <c r="Y415" s="9" t="inlineStr"/>
      <c r="Z415" s="9" t="inlineStr"/>
      <c r="AA415" s="9" t="inlineStr"/>
      <c r="AB415" s="9" t="inlineStr"/>
      <c r="AC415" s="9" t="inlineStr"/>
      <c r="AD415" s="9" t="inlineStr"/>
      <c r="AE415" s="9">
        <f>HYPERLINK("#Schedule!F165", "I伊藤 SE (49240)")</f>
        <v/>
      </c>
      <c r="AF415" s="9" t="inlineStr"/>
      <c r="AG415" s="9" t="inlineStr"/>
      <c r="AH415" s="9" t="inlineStr">
        <is>
          <t>I鴨野 KO</t>
        </is>
      </c>
      <c r="AI415" s="9" t="inlineStr"/>
      <c r="AJ415" s="9" t="inlineStr"/>
    </row>
    <row r="416">
      <c r="A416" s="1" t="inlineStr">
        <is>
          <t>53831-1</t>
        </is>
      </c>
      <c r="B416" s="1" t="inlineStr">
        <is>
          <t>NISHIMURA TO</t>
        </is>
      </c>
      <c r="C416" s="1" t="inlineStr"/>
      <c r="D416" s="1" t="inlineStr"/>
      <c r="E416" s="1" t="n">
        <v>208</v>
      </c>
      <c r="F416" s="4" t="inlineStr">
        <is>
          <t>NISHIMURATO</t>
        </is>
      </c>
      <c r="G416" s="4" t="inlineStr">
        <is>
          <t>TO</t>
        </is>
      </c>
      <c r="H416" s="4" t="inlineStr">
        <is>
          <t>機種：</t>
        </is>
      </c>
      <c r="I416" s="4" t="inlineStr">
        <is>
          <t>787</t>
        </is>
      </c>
      <c r="J416" s="4" t="inlineStr">
        <is>
          <t>ランク：</t>
        </is>
      </c>
      <c r="K416" s="4" t="inlineStr">
        <is>
          <t>FO</t>
        </is>
      </c>
      <c r="L416" s="4" t="inlineStr">
        <is>
          <t>期：</t>
        </is>
      </c>
      <c r="M416" s="4" t="inlineStr">
        <is>
          <t>208</t>
        </is>
      </c>
      <c r="N416" s="4" t="inlineStr">
        <is>
          <t>職番：</t>
        </is>
      </c>
      <c r="O416" s="4" t="inlineStr">
        <is>
          <t>00053831</t>
        </is>
      </c>
      <c r="P416" s="4" t="inlineStr">
        <is>
          <t>所属：</t>
        </is>
      </c>
      <c r="Q416" s="4" t="inlineStr">
        <is>
          <t>NWZNW</t>
        </is>
      </c>
      <c r="R416" s="4" t="inlineStr">
        <is>
          <t>CAT資：</t>
        </is>
      </c>
      <c r="S416" s="4" t="inlineStr">
        <is>
          <t>CAT3</t>
        </is>
      </c>
      <c r="T416" s="4" t="inlineStr">
        <is>
          <t>T/O：</t>
        </is>
      </c>
      <c r="U416" s="4" t="inlineStr">
        <is>
          <t>3T250911</t>
        </is>
      </c>
      <c r="V416" s="4" t="inlineStr">
        <is>
          <t>L/D：</t>
        </is>
      </c>
      <c r="W416" s="4" t="inlineStr">
        <is>
          <t>3L250911</t>
        </is>
      </c>
      <c r="X416" s="4" t="inlineStr">
        <is>
          <t>PE：</t>
        </is>
      </c>
      <c r="Y416" s="5" t="inlineStr">
        <is>
          <t>PE260408</t>
        </is>
      </c>
      <c r="Z416" s="4" t="inlineStr">
        <is>
          <t>誕生月：</t>
        </is>
      </c>
      <c r="AA416" s="4" t="inlineStr">
        <is>
          <t>03</t>
        </is>
      </c>
      <c r="AB416" s="6" t="inlineStr">
        <is>
          <t>電話：</t>
        </is>
      </c>
      <c r="AC416" s="6" t="inlineStr">
        <is>
          <t>090-5055-6045</t>
        </is>
      </c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</row>
    <row r="417">
      <c r="A417" s="1" t="inlineStr">
        <is>
          <t>53831-2</t>
        </is>
      </c>
      <c r="B417" s="1" t="inlineStr">
        <is>
          <t>NISHIMURA TO</t>
        </is>
      </c>
      <c r="C417" s="1" t="inlineStr"/>
      <c r="D417" s="1" t="inlineStr"/>
      <c r="E417" s="1" t="n">
        <v>208</v>
      </c>
      <c r="F417" s="7" t="inlineStr">
        <is>
          <t>01</t>
        </is>
      </c>
      <c r="G417" s="7" t="inlineStr">
        <is>
          <t>02</t>
        </is>
      </c>
      <c r="H417" s="7" t="inlineStr">
        <is>
          <t>03</t>
        </is>
      </c>
      <c r="I417" s="7" t="inlineStr">
        <is>
          <t>04</t>
        </is>
      </c>
      <c r="J417" s="7" t="inlineStr">
        <is>
          <t>05</t>
        </is>
      </c>
      <c r="K417" s="7" t="inlineStr">
        <is>
          <t>06</t>
        </is>
      </c>
      <c r="L417" s="7" t="inlineStr">
        <is>
          <t>07</t>
        </is>
      </c>
      <c r="M417" s="7" t="inlineStr">
        <is>
          <t>08</t>
        </is>
      </c>
      <c r="N417" s="7" t="inlineStr">
        <is>
          <t>09</t>
        </is>
      </c>
      <c r="O417" s="7" t="inlineStr">
        <is>
          <t>10</t>
        </is>
      </c>
      <c r="P417" s="7" t="inlineStr">
        <is>
          <t>11</t>
        </is>
      </c>
      <c r="Q417" s="7" t="inlineStr">
        <is>
          <t>12</t>
        </is>
      </c>
      <c r="R417" s="7" t="inlineStr">
        <is>
          <t>13</t>
        </is>
      </c>
      <c r="S417" s="7" t="inlineStr">
        <is>
          <t>14</t>
        </is>
      </c>
      <c r="T417" s="7" t="inlineStr">
        <is>
          <t>15</t>
        </is>
      </c>
      <c r="U417" s="7" t="inlineStr">
        <is>
          <t>16</t>
        </is>
      </c>
      <c r="V417" s="7" t="inlineStr">
        <is>
          <t>17</t>
        </is>
      </c>
      <c r="W417" s="7" t="inlineStr">
        <is>
          <t>18</t>
        </is>
      </c>
      <c r="X417" s="7" t="inlineStr">
        <is>
          <t>19</t>
        </is>
      </c>
      <c r="Y417" s="7" t="inlineStr">
        <is>
          <t>20</t>
        </is>
      </c>
      <c r="Z417" s="7" t="inlineStr">
        <is>
          <t>21</t>
        </is>
      </c>
      <c r="AA417" s="7" t="inlineStr">
        <is>
          <t>22</t>
        </is>
      </c>
      <c r="AB417" s="7" t="inlineStr">
        <is>
          <t>23</t>
        </is>
      </c>
      <c r="AC417" s="7" t="inlineStr">
        <is>
          <t>24</t>
        </is>
      </c>
      <c r="AD417" s="13" t="inlineStr">
        <is>
          <t>25</t>
        </is>
      </c>
      <c r="AE417" s="7" t="inlineStr">
        <is>
          <t>26</t>
        </is>
      </c>
      <c r="AF417" s="7" t="inlineStr">
        <is>
          <t>27</t>
        </is>
      </c>
      <c r="AG417" s="7" t="inlineStr">
        <is>
          <t>28</t>
        </is>
      </c>
      <c r="AH417" s="7" t="inlineStr">
        <is>
          <t>29</t>
        </is>
      </c>
      <c r="AI417" s="7" t="inlineStr">
        <is>
          <t>30</t>
        </is>
      </c>
      <c r="AJ417" s="7" t="inlineStr">
        <is>
          <t>31</t>
        </is>
      </c>
    </row>
    <row r="418">
      <c r="A418" s="1" t="inlineStr">
        <is>
          <t>53831-3</t>
        </is>
      </c>
      <c r="B418" s="1" t="inlineStr">
        <is>
          <t>NISHIMURA TO</t>
        </is>
      </c>
      <c r="C418" s="1" t="inlineStr"/>
      <c r="D418" s="1" t="inlineStr"/>
      <c r="E418" s="1" t="n">
        <v>208</v>
      </c>
      <c r="F418" s="9" t="inlineStr">
        <is>
          <t>H</t>
        </is>
      </c>
      <c r="G418" s="9" t="inlineStr">
        <is>
          <t>101
106
113</t>
        </is>
      </c>
      <c r="H418" s="9" t="inlineStr">
        <is>
          <t>104
111
114</t>
        </is>
      </c>
      <c r="I418" s="9" t="inlineStr">
        <is>
          <t>H</t>
        </is>
      </c>
      <c r="J418" s="9" t="inlineStr">
        <is>
          <t>RF</t>
        </is>
      </c>
      <c r="K418" s="9" t="inlineStr">
        <is>
          <t>H</t>
        </is>
      </c>
      <c r="L418" s="9" t="inlineStr">
        <is>
          <t>GJ0</t>
        </is>
      </c>
      <c r="M418" s="9" t="inlineStr">
        <is>
          <t>PEA
PEA TRN
APO</t>
        </is>
      </c>
      <c r="N418" s="9" t="inlineStr">
        <is>
          <t>H</t>
        </is>
      </c>
      <c r="O418" s="9" t="inlineStr">
        <is>
          <t>51</t>
        </is>
      </c>
      <c r="P418" s="9" t="inlineStr">
        <is>
          <t>---</t>
        </is>
      </c>
      <c r="Q418" s="9" t="inlineStr">
        <is>
          <t>52</t>
        </is>
      </c>
      <c r="R418" s="9" t="inlineStr">
        <is>
          <t>H</t>
        </is>
      </c>
      <c r="S418" s="9" t="inlineStr">
        <is>
          <t>H</t>
        </is>
      </c>
      <c r="T418" s="9" t="inlineStr">
        <is>
          <t>95</t>
        </is>
      </c>
      <c r="U418" s="9" t="inlineStr">
        <is>
          <t>---</t>
        </is>
      </c>
      <c r="V418" s="9" t="inlineStr">
        <is>
          <t>90
225DH</t>
        </is>
      </c>
      <c r="W418" s="9" t="inlineStr">
        <is>
          <t>891
894
134DH</t>
        </is>
      </c>
      <c r="X418" s="9" t="inlineStr">
        <is>
          <t>VACN</t>
        </is>
      </c>
      <c r="Y418" s="9" t="inlineStr">
        <is>
          <t>VACN</t>
        </is>
      </c>
      <c r="Z418" s="9" t="inlineStr">
        <is>
          <t>735</t>
        </is>
      </c>
      <c r="AA418" s="9" t="inlineStr">
        <is>
          <t>26</t>
        </is>
      </c>
      <c r="AB418" s="9" t="inlineStr">
        <is>
          <t>H/VAC</t>
        </is>
      </c>
      <c r="AC418" s="9" t="inlineStr">
        <is>
          <t>CAUG
TRN</t>
        </is>
      </c>
      <c r="AD418" s="9" t="inlineStr">
        <is>
          <t>CAUG
TRN
#2
13:00-17:00
OPGS2</t>
        </is>
      </c>
      <c r="AE418" s="9" t="inlineStr">
        <is>
          <t>H</t>
        </is>
      </c>
      <c r="AF418" s="9" t="inlineStr">
        <is>
          <t>CAUG
TRN</t>
        </is>
      </c>
      <c r="AG418" s="9" t="inlineStr">
        <is>
          <t>CAUG
TRN</t>
        </is>
      </c>
      <c r="AH418" s="9" t="inlineStr">
        <is>
          <t>H</t>
        </is>
      </c>
      <c r="AI418" s="9" t="inlineStr">
        <is>
          <t>CAUG
TRN</t>
        </is>
      </c>
      <c r="AJ418" s="9" t="inlineStr">
        <is>
          <t>H</t>
        </is>
      </c>
    </row>
    <row r="419">
      <c r="A419" s="1" t="inlineStr">
        <is>
          <t>53831-4</t>
        </is>
      </c>
      <c r="B419" s="1" t="inlineStr">
        <is>
          <t>NISHIMURA TO</t>
        </is>
      </c>
      <c r="C419" s="1" t="inlineStr"/>
      <c r="D419" s="1" t="inlineStr"/>
      <c r="E419" s="1" t="n"/>
      <c r="F419" s="9" t="inlineStr"/>
      <c r="G419" s="9">
        <f>HYPERLINK("#Schedule!F102", "下村 HI (41558)")</f>
        <v/>
      </c>
      <c r="H419" s="9">
        <f>HYPERLINK("#Schedule!F102", "下村 HI (41558)")</f>
        <v/>
      </c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  <c r="P419" s="9" t="inlineStr"/>
      <c r="Q419" s="9" t="inlineStr"/>
      <c r="R419" s="9" t="inlineStr"/>
      <c r="S419" s="9" t="inlineStr"/>
      <c r="T419" s="9" t="inlineStr"/>
      <c r="U419" s="9" t="inlineStr"/>
      <c r="V419" s="9" t="inlineStr"/>
      <c r="W419" s="9" t="inlineStr"/>
      <c r="X419" s="9" t="inlineStr"/>
      <c r="Y419" s="9" t="inlineStr"/>
      <c r="Z419" s="9" t="inlineStr"/>
      <c r="AA419" s="9" t="inlineStr"/>
      <c r="AB419" s="9" t="inlineStr"/>
      <c r="AC419" s="9" t="inlineStr"/>
      <c r="AD419" s="9" t="inlineStr">
        <is>
          <t>I宇治 TO</t>
        </is>
      </c>
      <c r="AE419" s="9" t="inlineStr"/>
      <c r="AF419" s="9" t="inlineStr"/>
      <c r="AG419" s="9" t="inlineStr"/>
      <c r="AH419" s="9" t="inlineStr"/>
      <c r="AI419" s="9" t="inlineStr"/>
      <c r="AJ419" s="9" t="inlineStr"/>
    </row>
    <row r="420">
      <c r="A420" s="1" t="inlineStr">
        <is>
          <t>53831-5</t>
        </is>
      </c>
      <c r="B420" s="1" t="inlineStr">
        <is>
          <t>NISHIMURA TO</t>
        </is>
      </c>
      <c r="C420" s="1" t="inlineStr"/>
      <c r="D420" s="1" t="inlineStr"/>
      <c r="E420" s="1" t="n"/>
      <c r="F420" s="9" t="inlineStr"/>
      <c r="G420" s="9" t="inlineStr"/>
      <c r="H420" s="9" t="inlineStr"/>
      <c r="I420" s="9" t="inlineStr"/>
      <c r="J420" s="9" t="inlineStr"/>
      <c r="K420" s="9" t="inlineStr"/>
      <c r="L420" s="9" t="inlineStr"/>
      <c r="M420" s="9" t="inlineStr"/>
      <c r="N420" s="9" t="inlineStr"/>
      <c r="O420" s="9" t="inlineStr"/>
      <c r="P420" s="9" t="inlineStr"/>
      <c r="Q420" s="9" t="inlineStr"/>
      <c r="R420" s="9" t="inlineStr"/>
      <c r="S420" s="9" t="inlineStr"/>
      <c r="T420" s="9" t="inlineStr"/>
      <c r="U420" s="9" t="inlineStr"/>
      <c r="V420" s="9" t="inlineStr"/>
      <c r="W420" s="9" t="inlineStr"/>
      <c r="X420" s="9" t="inlineStr"/>
      <c r="Y420" s="9" t="inlineStr"/>
      <c r="Z420" s="9" t="inlineStr"/>
      <c r="AA420" s="9" t="inlineStr"/>
      <c r="AB420" s="9" t="inlineStr"/>
      <c r="AC420" s="9" t="inlineStr"/>
      <c r="AD420" s="9">
        <f>HYPERLINK("#Schedule!F10", "I佐々木MA (45028)")</f>
        <v/>
      </c>
      <c r="AE420" s="9" t="inlineStr"/>
      <c r="AF420" s="9" t="inlineStr"/>
      <c r="AG420" s="9" t="inlineStr"/>
      <c r="AH420" s="9" t="inlineStr"/>
      <c r="AI420" s="9" t="inlineStr"/>
      <c r="AJ420" s="9" t="inlineStr"/>
    </row>
    <row r="421">
      <c r="A421" s="1" t="inlineStr">
        <is>
          <t>43999-1</t>
        </is>
      </c>
      <c r="B421" s="1" t="inlineStr">
        <is>
          <t>TSUNODA AK</t>
        </is>
      </c>
      <c r="C421" s="1" t="inlineStr"/>
      <c r="D421" s="1" t="inlineStr"/>
      <c r="E421" s="1" t="n">
        <v>96</v>
      </c>
      <c r="F421" s="4" t="inlineStr">
        <is>
          <t>TSUNODAAK</t>
        </is>
      </c>
      <c r="G421" s="4" t="inlineStr">
        <is>
          <t>AK</t>
        </is>
      </c>
      <c r="H421" s="4" t="inlineStr">
        <is>
          <t>機種：</t>
        </is>
      </c>
      <c r="I421" s="4" t="inlineStr">
        <is>
          <t>787</t>
        </is>
      </c>
      <c r="J421" s="4" t="inlineStr">
        <is>
          <t>ランク：</t>
        </is>
      </c>
      <c r="K421" s="4" t="inlineStr">
        <is>
          <t>FO</t>
        </is>
      </c>
      <c r="L421" s="4" t="inlineStr">
        <is>
          <t>期：</t>
        </is>
      </c>
      <c r="M421" s="4" t="inlineStr">
        <is>
          <t>096</t>
        </is>
      </c>
      <c r="N421" s="4" t="inlineStr">
        <is>
          <t>職番：</t>
        </is>
      </c>
      <c r="O421" s="4" t="inlineStr">
        <is>
          <t>00043999</t>
        </is>
      </c>
      <c r="P421" s="4" t="inlineStr">
        <is>
          <t>所属：</t>
        </is>
      </c>
      <c r="Q421" s="4" t="inlineStr">
        <is>
          <t>NWZNW</t>
        </is>
      </c>
      <c r="R421" s="4" t="inlineStr">
        <is>
          <t>CAT資：</t>
        </is>
      </c>
      <c r="S421" s="4" t="inlineStr">
        <is>
          <t>CAT3</t>
        </is>
      </c>
      <c r="T421" s="4" t="inlineStr">
        <is>
          <t>T/O：</t>
        </is>
      </c>
      <c r="U421" s="4" t="inlineStr">
        <is>
          <t>3T251011</t>
        </is>
      </c>
      <c r="V421" s="4" t="inlineStr">
        <is>
          <t>L/D：</t>
        </is>
      </c>
      <c r="W421" s="4" t="inlineStr">
        <is>
          <t>3L251011</t>
        </is>
      </c>
      <c r="X421" s="4" t="inlineStr">
        <is>
          <t>PE：</t>
        </is>
      </c>
      <c r="Y421" s="5" t="inlineStr">
        <is>
          <t>PE260220</t>
        </is>
      </c>
      <c r="Z421" s="4" t="inlineStr">
        <is>
          <t>誕生月：</t>
        </is>
      </c>
      <c r="AA421" s="4" t="inlineStr">
        <is>
          <t>08</t>
        </is>
      </c>
      <c r="AB421" s="6" t="inlineStr">
        <is>
          <t>電話：</t>
        </is>
      </c>
      <c r="AC421" s="6" t="inlineStr">
        <is>
          <t>090-4547-4824</t>
        </is>
      </c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</row>
    <row r="422">
      <c r="A422" s="1" t="inlineStr">
        <is>
          <t>43999-2</t>
        </is>
      </c>
      <c r="B422" s="1" t="inlineStr">
        <is>
          <t>TSUNODA AK</t>
        </is>
      </c>
      <c r="C422" s="1" t="inlineStr"/>
      <c r="D422" s="1" t="inlineStr"/>
      <c r="E422" s="1" t="n">
        <v>96</v>
      </c>
      <c r="F422" s="7" t="inlineStr">
        <is>
          <t>01</t>
        </is>
      </c>
      <c r="G422" s="7" t="inlineStr">
        <is>
          <t>02</t>
        </is>
      </c>
      <c r="H422" s="7" t="inlineStr">
        <is>
          <t>03</t>
        </is>
      </c>
      <c r="I422" s="8" t="inlineStr">
        <is>
          <t>04</t>
        </is>
      </c>
      <c r="J422" s="8" t="inlineStr">
        <is>
          <t>05</t>
        </is>
      </c>
      <c r="K422" s="7" t="inlineStr">
        <is>
          <t>06</t>
        </is>
      </c>
      <c r="L422" s="13" t="inlineStr">
        <is>
          <t>07</t>
        </is>
      </c>
      <c r="M422" s="8" t="inlineStr">
        <is>
          <t>08</t>
        </is>
      </c>
      <c r="N422" s="7" t="inlineStr">
        <is>
          <t>09</t>
        </is>
      </c>
      <c r="O422" s="8" t="inlineStr">
        <is>
          <t>10</t>
        </is>
      </c>
      <c r="P422" s="8" t="inlineStr">
        <is>
          <t>11</t>
        </is>
      </c>
      <c r="Q422" s="7" t="inlineStr">
        <is>
          <t>12</t>
        </is>
      </c>
      <c r="R422" s="7" t="inlineStr">
        <is>
          <t>13</t>
        </is>
      </c>
      <c r="S422" s="8" t="inlineStr">
        <is>
          <t>14</t>
        </is>
      </c>
      <c r="T422" s="8" t="inlineStr">
        <is>
          <t>15</t>
        </is>
      </c>
      <c r="U422" s="7" t="inlineStr">
        <is>
          <t>16</t>
        </is>
      </c>
      <c r="V422" s="7" t="inlineStr">
        <is>
          <t>17</t>
        </is>
      </c>
      <c r="W422" s="8" t="inlineStr">
        <is>
          <t>18</t>
        </is>
      </c>
      <c r="X422" s="8" t="inlineStr">
        <is>
          <t>19</t>
        </is>
      </c>
      <c r="Y422" s="7" t="inlineStr">
        <is>
          <t>20</t>
        </is>
      </c>
      <c r="Z422" s="8" t="inlineStr">
        <is>
          <t>21</t>
        </is>
      </c>
      <c r="AA422" s="7" t="inlineStr">
        <is>
          <t>22</t>
        </is>
      </c>
      <c r="AB422" s="7" t="inlineStr">
        <is>
          <t>23</t>
        </is>
      </c>
      <c r="AC422" s="7" t="inlineStr">
        <is>
          <t>24</t>
        </is>
      </c>
      <c r="AD422" s="7" t="inlineStr">
        <is>
          <t>25</t>
        </is>
      </c>
      <c r="AE422" s="7" t="inlineStr">
        <is>
          <t>26</t>
        </is>
      </c>
      <c r="AF422" s="7" t="inlineStr">
        <is>
          <t>27</t>
        </is>
      </c>
      <c r="AG422" s="7" t="inlineStr">
        <is>
          <t>28</t>
        </is>
      </c>
      <c r="AH422" s="7" t="inlineStr">
        <is>
          <t>29</t>
        </is>
      </c>
      <c r="AI422" s="14" t="inlineStr">
        <is>
          <t>30</t>
        </is>
      </c>
      <c r="AJ422" s="7" t="inlineStr">
        <is>
          <t>31</t>
        </is>
      </c>
    </row>
    <row r="423">
      <c r="A423" s="1" t="inlineStr">
        <is>
          <t>43999-3</t>
        </is>
      </c>
      <c r="B423" s="1" t="inlineStr">
        <is>
          <t>TSUNODA AK</t>
        </is>
      </c>
      <c r="C423" s="1" t="inlineStr"/>
      <c r="D423" s="1" t="inlineStr"/>
      <c r="E423" s="1" t="n">
        <v>96</v>
      </c>
      <c r="F423" s="9" t="inlineStr">
        <is>
          <t>H</t>
        </is>
      </c>
      <c r="G423" s="9" t="inlineStr">
        <is>
          <t>H</t>
        </is>
      </c>
      <c r="H423" s="9" t="inlineStr">
        <is>
          <t>MIDNIT</t>
        </is>
      </c>
      <c r="I423" s="9" t="inlineStr">
        <is>
          <t>77
CMD TRN</t>
        </is>
      </c>
      <c r="J423" s="9" t="inlineStr">
        <is>
          <t>746
CMD TRN</t>
        </is>
      </c>
      <c r="K423" s="9" t="inlineStr">
        <is>
          <t>*H</t>
        </is>
      </c>
      <c r="L423" s="9" t="inlineStr">
        <is>
          <t>PEA
PEA TRN
EDU
PH TRN</t>
        </is>
      </c>
      <c r="M423" s="9" t="inlineStr">
        <is>
          <t>95
CMD TRN</t>
        </is>
      </c>
      <c r="N423" s="9" t="inlineStr">
        <is>
          <t>---</t>
        </is>
      </c>
      <c r="O423" s="9" t="inlineStr">
        <is>
          <t>90
CMD TRN
225DH</t>
        </is>
      </c>
      <c r="P423" s="9" t="inlineStr">
        <is>
          <t>891
CMD TRN
894
CMD TRN
228DH</t>
        </is>
      </c>
      <c r="Q423" s="9" t="inlineStr">
        <is>
          <t>*H</t>
        </is>
      </c>
      <c r="R423" s="9" t="inlineStr">
        <is>
          <t>BLK</t>
        </is>
      </c>
      <c r="S423" s="9" t="inlineStr">
        <is>
          <t>505
CMD TRN
506
CMD TRN
321DH</t>
        </is>
      </c>
      <c r="T423" s="9" t="inlineStr">
        <is>
          <t>304
CMD TRN
315
CMD TRN
316
CMD TRN</t>
        </is>
      </c>
      <c r="U423" s="9" t="inlineStr">
        <is>
          <t>H</t>
        </is>
      </c>
      <c r="V423" s="9" t="inlineStr">
        <is>
          <t>H*</t>
        </is>
      </c>
      <c r="W423" s="9" t="inlineStr">
        <is>
          <t>87
CMD TRN</t>
        </is>
      </c>
      <c r="X423" s="9" t="inlineStr">
        <is>
          <t>88
CMD TRN</t>
        </is>
      </c>
      <c r="Y423" s="9" t="inlineStr">
        <is>
          <t>H</t>
        </is>
      </c>
      <c r="Z423" s="9" t="inlineStr">
        <is>
          <t>133
CMD TRN
138
CMD TRN</t>
        </is>
      </c>
      <c r="AA423" s="9" t="inlineStr">
        <is>
          <t>HH</t>
        </is>
      </c>
      <c r="AB423" s="9" t="inlineStr">
        <is>
          <t>HH</t>
        </is>
      </c>
      <c r="AC423" s="9" t="inlineStr">
        <is>
          <t>R</t>
        </is>
      </c>
      <c r="AD423" s="9" t="inlineStr">
        <is>
          <t>R</t>
        </is>
      </c>
      <c r="AE423" s="9" t="inlineStr">
        <is>
          <t>91
92</t>
        </is>
      </c>
      <c r="AF423" s="9" t="inlineStr">
        <is>
          <t>APO
GMT0</t>
        </is>
      </c>
      <c r="AG423" s="9" t="inlineStr">
        <is>
          <t>R_</t>
        </is>
      </c>
      <c r="AH423" s="9" t="inlineStr">
        <is>
          <t>H</t>
        </is>
      </c>
      <c r="AI423" s="9" t="inlineStr">
        <is>
          <t>PH3
TRN</t>
        </is>
      </c>
      <c r="AJ423" s="9" t="inlineStr">
        <is>
          <t>R</t>
        </is>
      </c>
    </row>
    <row r="424">
      <c r="A424" s="1" t="inlineStr">
        <is>
          <t>43999-4</t>
        </is>
      </c>
      <c r="B424" s="1" t="inlineStr">
        <is>
          <t>TSUNODA AK</t>
        </is>
      </c>
      <c r="C424" s="1" t="inlineStr"/>
      <c r="D424" s="1" t="inlineStr"/>
      <c r="E424" s="1" t="n"/>
      <c r="F424" s="9" t="inlineStr"/>
      <c r="G424" s="9" t="inlineStr"/>
      <c r="H424" s="9" t="inlineStr"/>
      <c r="I424" s="9">
        <f>HYPERLINK("#Schedule!F90", "西野 HI (39361)")</f>
        <v/>
      </c>
      <c r="J424" s="9">
        <f>HYPERLINK("#Schedule!F90", "西野 HI (39361)")</f>
        <v/>
      </c>
      <c r="K424" s="9" t="inlineStr"/>
      <c r="L424" s="9" t="inlineStr"/>
      <c r="M424" s="9">
        <f>HYPERLINK("#Schedule!F204", "松井  (40567)")</f>
        <v/>
      </c>
      <c r="N424" s="9" t="inlineStr"/>
      <c r="O424" s="9">
        <f>HYPERLINK("#Schedule!F204", "松井  (40567)")</f>
        <v/>
      </c>
      <c r="P424" s="9">
        <f>HYPERLINK("#Schedule!F204", "松井  (40567)")</f>
        <v/>
      </c>
      <c r="Q424" s="9" t="inlineStr"/>
      <c r="R424" s="9" t="inlineStr"/>
      <c r="S424" s="9">
        <f>HYPERLINK("#Schedule!F49", "織田  (39358)")</f>
        <v/>
      </c>
      <c r="T424" s="9">
        <f>HYPERLINK("#Schedule!F49", "織田  (39358)")</f>
        <v/>
      </c>
      <c r="U424" s="9" t="inlineStr"/>
      <c r="V424" s="9" t="inlineStr"/>
      <c r="W424" s="9">
        <f>HYPERLINK("#Schedule!F152", "小原 TA (39676)")</f>
        <v/>
      </c>
      <c r="X424" s="9">
        <f>HYPERLINK("#Schedule!F152", "小原 TA (39676)")</f>
        <v/>
      </c>
      <c r="Y424" s="9" t="inlineStr"/>
      <c r="Z424" s="9">
        <f>HYPERLINK("#Schedule!F106", "森 SH (48994)")</f>
        <v/>
      </c>
      <c r="AA424" s="9" t="inlineStr"/>
      <c r="AB424" s="9" t="inlineStr"/>
      <c r="AC424" s="9" t="inlineStr"/>
      <c r="AD424" s="9" t="inlineStr"/>
      <c r="AE424" s="9" t="inlineStr"/>
      <c r="AF424" s="9" t="inlineStr"/>
      <c r="AG424" s="9" t="inlineStr"/>
      <c r="AH424" s="9" t="inlineStr"/>
      <c r="AI424" s="9" t="inlineStr"/>
      <c r="AJ424" s="9" t="inlineStr"/>
    </row>
    <row r="425">
      <c r="A425" s="1" t="inlineStr">
        <is>
          <t>53824-1</t>
        </is>
      </c>
      <c r="B425" s="1" t="inlineStr">
        <is>
          <t>KIMURA YU</t>
        </is>
      </c>
      <c r="C425" s="1" t="inlineStr"/>
      <c r="D425" s="1" t="inlineStr"/>
      <c r="E425" s="1" t="n">
        <v>209</v>
      </c>
      <c r="F425" s="4" t="inlineStr">
        <is>
          <t>KIMURAYU</t>
        </is>
      </c>
      <c r="G425" s="4" t="inlineStr">
        <is>
          <t>YU</t>
        </is>
      </c>
      <c r="H425" s="4" t="inlineStr">
        <is>
          <t>機種：</t>
        </is>
      </c>
      <c r="I425" s="4" t="inlineStr">
        <is>
          <t>787</t>
        </is>
      </c>
      <c r="J425" s="4" t="inlineStr">
        <is>
          <t>ランク：</t>
        </is>
      </c>
      <c r="K425" s="4" t="inlineStr">
        <is>
          <t>FO</t>
        </is>
      </c>
      <c r="L425" s="4" t="inlineStr">
        <is>
          <t>期：</t>
        </is>
      </c>
      <c r="M425" s="4" t="inlineStr">
        <is>
          <t>209</t>
        </is>
      </c>
      <c r="N425" s="4" t="inlineStr">
        <is>
          <t>職番：</t>
        </is>
      </c>
      <c r="O425" s="4" t="inlineStr">
        <is>
          <t>00053824</t>
        </is>
      </c>
      <c r="P425" s="4" t="inlineStr">
        <is>
          <t>所属：</t>
        </is>
      </c>
      <c r="Q425" s="4" t="inlineStr">
        <is>
          <t>NWZNW</t>
        </is>
      </c>
      <c r="R425" s="4" t="inlineStr">
        <is>
          <t>CAT資：</t>
        </is>
      </c>
      <c r="S425" s="4" t="inlineStr">
        <is>
          <t>CAT3</t>
        </is>
      </c>
      <c r="T425" s="4" t="inlineStr">
        <is>
          <t>T/O：</t>
        </is>
      </c>
      <c r="U425" s="4" t="inlineStr">
        <is>
          <t>3T251008</t>
        </is>
      </c>
      <c r="V425" s="4" t="inlineStr">
        <is>
          <t>L/D：</t>
        </is>
      </c>
      <c r="W425" s="4" t="inlineStr">
        <is>
          <t>3L251008</t>
        </is>
      </c>
      <c r="X425" s="4" t="inlineStr">
        <is>
          <t>PE：</t>
        </is>
      </c>
      <c r="Y425" s="5" t="inlineStr">
        <is>
          <t>PE260525</t>
        </is>
      </c>
      <c r="Z425" s="4" t="inlineStr">
        <is>
          <t>誕生月：</t>
        </is>
      </c>
      <c r="AA425" s="4" t="inlineStr">
        <is>
          <t>12</t>
        </is>
      </c>
      <c r="AB425" s="6" t="inlineStr">
        <is>
          <t>電話：</t>
        </is>
      </c>
      <c r="AC425" s="6" t="inlineStr">
        <is>
          <t>080-5112-8725</t>
        </is>
      </c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</row>
    <row r="426">
      <c r="A426" s="1" t="inlineStr">
        <is>
          <t>53824-2</t>
        </is>
      </c>
      <c r="B426" s="1" t="inlineStr">
        <is>
          <t>KIMURA YU</t>
        </is>
      </c>
      <c r="C426" s="1" t="inlineStr"/>
      <c r="D426" s="1" t="inlineStr"/>
      <c r="E426" s="1" t="n">
        <v>209</v>
      </c>
      <c r="F426" s="8" t="inlineStr">
        <is>
          <t>01</t>
        </is>
      </c>
      <c r="G426" s="7" t="inlineStr">
        <is>
          <t>02</t>
        </is>
      </c>
      <c r="H426" s="8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8" t="inlineStr">
        <is>
          <t>06</t>
        </is>
      </c>
      <c r="L426" s="7" t="inlineStr">
        <is>
          <t>07</t>
        </is>
      </c>
      <c r="M426" s="8" t="inlineStr">
        <is>
          <t>08</t>
        </is>
      </c>
      <c r="N426" s="7" t="inlineStr">
        <is>
          <t>09</t>
        </is>
      </c>
      <c r="O426" s="8" t="inlineStr">
        <is>
          <t>10</t>
        </is>
      </c>
      <c r="P426" s="8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8" t="inlineStr">
        <is>
          <t>14</t>
        </is>
      </c>
      <c r="T426" s="8" t="inlineStr">
        <is>
          <t>15</t>
        </is>
      </c>
      <c r="U426" s="7" t="inlineStr">
        <is>
          <t>16</t>
        </is>
      </c>
      <c r="V426" s="8" t="inlineStr">
        <is>
          <t>17</t>
        </is>
      </c>
      <c r="W426" s="8" t="inlineStr">
        <is>
          <t>18</t>
        </is>
      </c>
      <c r="X426" s="7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7" t="inlineStr">
        <is>
          <t>24</t>
        </is>
      </c>
      <c r="AD426" s="7" t="inlineStr">
        <is>
          <t>25</t>
        </is>
      </c>
      <c r="AE426" s="7" t="inlineStr">
        <is>
          <t>26</t>
        </is>
      </c>
      <c r="AF426" s="7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14" t="inlineStr">
        <is>
          <t>31</t>
        </is>
      </c>
    </row>
    <row r="427">
      <c r="A427" s="1" t="inlineStr">
        <is>
          <t>53824-3</t>
        </is>
      </c>
      <c r="B427" s="1" t="inlineStr">
        <is>
          <t>KIMURA YU</t>
        </is>
      </c>
      <c r="C427" s="1" t="inlineStr"/>
      <c r="D427" s="1" t="inlineStr"/>
      <c r="E427" s="1" t="n">
        <v>209</v>
      </c>
      <c r="F427" s="9" t="inlineStr">
        <is>
          <t>8786
CMD TRN</t>
        </is>
      </c>
      <c r="G427" s="9" t="inlineStr">
        <is>
          <t>---</t>
        </is>
      </c>
      <c r="H427" s="9" t="inlineStr">
        <is>
          <t>791
CMD TRN
130DH</t>
        </is>
      </c>
      <c r="I427" s="9" t="inlineStr">
        <is>
          <t>HH</t>
        </is>
      </c>
      <c r="J427" s="9" t="inlineStr">
        <is>
          <t>HH</t>
        </is>
      </c>
      <c r="K427" s="9" t="inlineStr">
        <is>
          <t>37
CMD TRN</t>
        </is>
      </c>
      <c r="L427" s="9" t="inlineStr">
        <is>
          <t>---</t>
        </is>
      </c>
      <c r="M427" s="9" t="inlineStr">
        <is>
          <t>36
CMD TRN</t>
        </is>
      </c>
      <c r="N427" s="9" t="inlineStr">
        <is>
          <t>VAC</t>
        </is>
      </c>
      <c r="O427" s="9" t="inlineStr">
        <is>
          <t>735
CMD TRN</t>
        </is>
      </c>
      <c r="P427" s="9" t="inlineStr">
        <is>
          <t>26
CMD TRN</t>
        </is>
      </c>
      <c r="Q427" s="9" t="inlineStr">
        <is>
          <t>H</t>
        </is>
      </c>
      <c r="R427" s="9" t="inlineStr">
        <is>
          <t>H</t>
        </is>
      </c>
      <c r="S427" s="9" t="inlineStr">
        <is>
          <t>809
CMD TRN</t>
        </is>
      </c>
      <c r="T427" s="9" t="inlineStr">
        <is>
          <t>802
CMD TRN</t>
        </is>
      </c>
      <c r="U427" s="9" t="inlineStr">
        <is>
          <t>H</t>
        </is>
      </c>
      <c r="V427" s="9" t="inlineStr">
        <is>
          <t>119
CMD TRN
124
CMD TRN
139
CMD TRN</t>
        </is>
      </c>
      <c r="W427" s="9" t="inlineStr">
        <is>
          <t>116
CMD TRN
125
CMD TRN
128
CMD TRN</t>
        </is>
      </c>
      <c r="X427" s="9" t="inlineStr">
        <is>
          <t>H</t>
        </is>
      </c>
      <c r="Y427" s="9" t="inlineStr">
        <is>
          <t>745</t>
        </is>
      </c>
      <c r="Z427" s="9" t="inlineStr">
        <is>
          <t>---</t>
        </is>
      </c>
      <c r="AA427" s="9" t="inlineStr">
        <is>
          <t>78</t>
        </is>
      </c>
      <c r="AB427" s="9" t="inlineStr">
        <is>
          <t>H/VAC</t>
        </is>
      </c>
      <c r="AC427" s="9" t="inlineStr">
        <is>
          <t>H</t>
        </is>
      </c>
      <c r="AD427" s="9" t="inlineStr">
        <is>
          <t>773</t>
        </is>
      </c>
      <c r="AE427" s="9" t="inlineStr">
        <is>
          <t>---</t>
        </is>
      </c>
      <c r="AF427" s="9" t="inlineStr">
        <is>
          <t>---</t>
        </is>
      </c>
      <c r="AG427" s="9" t="inlineStr">
        <is>
          <t>774</t>
        </is>
      </c>
      <c r="AH427" s="9" t="inlineStr">
        <is>
          <t>H</t>
        </is>
      </c>
      <c r="AI427" s="9" t="inlineStr">
        <is>
          <t>H</t>
        </is>
      </c>
      <c r="AJ427" s="9" t="inlineStr">
        <is>
          <t>PH3
TRN</t>
        </is>
      </c>
    </row>
    <row r="428">
      <c r="A428" s="1" t="inlineStr">
        <is>
          <t>53824-4</t>
        </is>
      </c>
      <c r="B428" s="1" t="inlineStr">
        <is>
          <t>KIMURA YU</t>
        </is>
      </c>
      <c r="C428" s="1" t="inlineStr"/>
      <c r="D428" s="1" t="inlineStr"/>
      <c r="E428" s="1" t="n"/>
      <c r="F428" s="9">
        <f>HYPERLINK("#Schedule!F94", "久保田 AK (39625)")</f>
        <v/>
      </c>
      <c r="G428" s="9" t="inlineStr"/>
      <c r="H428" s="9">
        <f>HYPERLINK("#Schedule!F94", "久保田 AK (39625)")</f>
        <v/>
      </c>
      <c r="I428" s="9" t="inlineStr"/>
      <c r="J428" s="9" t="inlineStr"/>
      <c r="K428" s="9">
        <f>HYPERLINK("#Schedule!F275", "MATSUNOSH (38570)")</f>
        <v/>
      </c>
      <c r="L428" s="9" t="inlineStr"/>
      <c r="M428" s="9">
        <f>HYPERLINK("#Schedule!F275", "MATSUNOSH (38570)")</f>
        <v/>
      </c>
      <c r="N428" s="9" t="inlineStr"/>
      <c r="O428" s="9">
        <f>HYPERLINK("#Schedule!F28", "毛利 YO (67849)")</f>
        <v/>
      </c>
      <c r="P428" s="9">
        <f>HYPERLINK("#Schedule!F28", "毛利 YO (67849)")</f>
        <v/>
      </c>
      <c r="Q428" s="9" t="inlineStr"/>
      <c r="R428" s="9" t="inlineStr"/>
      <c r="S428" s="9">
        <f>HYPERLINK("#Schedule!F143", "山本 ST (37736)")</f>
        <v/>
      </c>
      <c r="T428" s="9">
        <f>HYPERLINK("#Schedule!F143", "山本 ST (37736)")</f>
        <v/>
      </c>
      <c r="U428" s="9" t="inlineStr"/>
      <c r="V428" s="9">
        <f>HYPERLINK("#Schedule!F191", "金光 AK (67770)")</f>
        <v/>
      </c>
      <c r="W428" s="9">
        <f>HYPERLINK("#Schedule!F191", "金光 AK (67770)")</f>
        <v/>
      </c>
      <c r="X428" s="9" t="inlineStr"/>
      <c r="Y428" s="9" t="inlineStr"/>
      <c r="Z428" s="9" t="inlineStr"/>
      <c r="AA428" s="9" t="inlineStr"/>
      <c r="AB428" s="9" t="inlineStr"/>
      <c r="AC428" s="9" t="inlineStr"/>
      <c r="AD428" s="9" t="inlineStr"/>
      <c r="AE428" s="9" t="inlineStr"/>
      <c r="AF428" s="9" t="inlineStr"/>
      <c r="AG428" s="9" t="inlineStr"/>
      <c r="AH428" s="9" t="inlineStr"/>
      <c r="AI428" s="9" t="inlineStr"/>
      <c r="AJ428" s="9" t="inlineStr"/>
    </row>
    <row r="429">
      <c r="A429" s="1" t="inlineStr">
        <is>
          <t>53852-1</t>
        </is>
      </c>
      <c r="B429" s="1" t="inlineStr">
        <is>
          <t>OGURA KA</t>
        </is>
      </c>
      <c r="C429" s="1" t="inlineStr"/>
      <c r="D429" s="1" t="inlineStr"/>
      <c r="E429" s="1" t="n">
        <v>192</v>
      </c>
      <c r="F429" s="4" t="inlineStr">
        <is>
          <t>OGURAKA</t>
        </is>
      </c>
      <c r="G429" s="4" t="inlineStr">
        <is>
          <t>KA</t>
        </is>
      </c>
      <c r="H429" s="4" t="inlineStr">
        <is>
          <t>機種：</t>
        </is>
      </c>
      <c r="I429" s="4" t="inlineStr">
        <is>
          <t>787</t>
        </is>
      </c>
      <c r="J429" s="4" t="inlineStr">
        <is>
          <t>ランク：</t>
        </is>
      </c>
      <c r="K429" s="4" t="inlineStr">
        <is>
          <t>FO</t>
        </is>
      </c>
      <c r="L429" s="4" t="inlineStr">
        <is>
          <t>期：</t>
        </is>
      </c>
      <c r="M429" s="4" t="inlineStr">
        <is>
          <t>192</t>
        </is>
      </c>
      <c r="N429" s="4" t="inlineStr">
        <is>
          <t>職番：</t>
        </is>
      </c>
      <c r="O429" s="4" t="inlineStr">
        <is>
          <t>00053852</t>
        </is>
      </c>
      <c r="P429" s="4" t="inlineStr">
        <is>
          <t>所属：</t>
        </is>
      </c>
      <c r="Q429" s="4" t="inlineStr">
        <is>
          <t>NWZNW</t>
        </is>
      </c>
      <c r="R429" s="4" t="inlineStr">
        <is>
          <t>CAT資：</t>
        </is>
      </c>
      <c r="S429" s="4" t="inlineStr">
        <is>
          <t>CAT3</t>
        </is>
      </c>
      <c r="T429" s="4" t="inlineStr">
        <is>
          <t>T/O：</t>
        </is>
      </c>
      <c r="U429" s="4" t="inlineStr">
        <is>
          <t>3T250925</t>
        </is>
      </c>
      <c r="V429" s="4" t="inlineStr">
        <is>
          <t>L/D：</t>
        </is>
      </c>
      <c r="W429" s="4" t="inlineStr">
        <is>
          <t>3L250925</t>
        </is>
      </c>
      <c r="X429" s="4" t="inlineStr">
        <is>
          <t>PE：</t>
        </is>
      </c>
      <c r="Y429" s="5" t="inlineStr">
        <is>
          <t>PE250723</t>
        </is>
      </c>
      <c r="Z429" s="4" t="inlineStr">
        <is>
          <t>誕生月：</t>
        </is>
      </c>
      <c r="AA429" s="4" t="inlineStr">
        <is>
          <t>09</t>
        </is>
      </c>
      <c r="AB429" s="6" t="inlineStr">
        <is>
          <t>電話：</t>
        </is>
      </c>
      <c r="AC429" s="6" t="inlineStr">
        <is>
          <t>080-6637-0101</t>
        </is>
      </c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</row>
    <row r="430">
      <c r="A430" s="1" t="inlineStr">
        <is>
          <t>53852-2</t>
        </is>
      </c>
      <c r="B430" s="1" t="inlineStr">
        <is>
          <t>OGURA KA</t>
        </is>
      </c>
      <c r="C430" s="1" t="inlineStr"/>
      <c r="D430" s="1" t="inlineStr"/>
      <c r="E430" s="1" t="n">
        <v>192</v>
      </c>
      <c r="F430" s="7" t="inlineStr">
        <is>
          <t>01</t>
        </is>
      </c>
      <c r="G430" s="7" t="inlineStr">
        <is>
          <t>02</t>
        </is>
      </c>
      <c r="H430" s="7" t="inlineStr">
        <is>
          <t>03</t>
        </is>
      </c>
      <c r="I430" s="7" t="inlineStr">
        <is>
          <t>04</t>
        </is>
      </c>
      <c r="J430" s="7" t="inlineStr">
        <is>
          <t>05</t>
        </is>
      </c>
      <c r="K430" s="7" t="inlineStr">
        <is>
          <t>06</t>
        </is>
      </c>
      <c r="L430" s="7" t="inlineStr">
        <is>
          <t>07</t>
        </is>
      </c>
      <c r="M430" s="7" t="inlineStr">
        <is>
          <t>08</t>
        </is>
      </c>
      <c r="N430" s="7" t="inlineStr">
        <is>
          <t>09</t>
        </is>
      </c>
      <c r="O430" s="7" t="inlineStr">
        <is>
          <t>10</t>
        </is>
      </c>
      <c r="P430" s="7" t="inlineStr">
        <is>
          <t>11</t>
        </is>
      </c>
      <c r="Q430" s="7" t="inlineStr">
        <is>
          <t>12</t>
        </is>
      </c>
      <c r="R430" s="7" t="inlineStr">
        <is>
          <t>13</t>
        </is>
      </c>
      <c r="S430" s="7" t="inlineStr">
        <is>
          <t>14</t>
        </is>
      </c>
      <c r="T430" s="12" t="inlineStr">
        <is>
          <t>15</t>
        </is>
      </c>
      <c r="U430" s="7" t="inlineStr">
        <is>
          <t>16</t>
        </is>
      </c>
      <c r="V430" s="7" t="inlineStr">
        <is>
          <t>17</t>
        </is>
      </c>
      <c r="W430" s="7" t="inlineStr">
        <is>
          <t>18</t>
        </is>
      </c>
      <c r="X430" s="7" t="inlineStr">
        <is>
          <t>19</t>
        </is>
      </c>
      <c r="Y430" s="7" t="inlineStr">
        <is>
          <t>20</t>
        </is>
      </c>
      <c r="Z430" s="7" t="inlineStr">
        <is>
          <t>21</t>
        </is>
      </c>
      <c r="AA430" s="7" t="inlineStr">
        <is>
          <t>22</t>
        </is>
      </c>
      <c r="AB430" s="7" t="inlineStr">
        <is>
          <t>23</t>
        </is>
      </c>
      <c r="AC430" s="14" t="inlineStr">
        <is>
          <t>24</t>
        </is>
      </c>
      <c r="AD430" s="7" t="inlineStr">
        <is>
          <t>25</t>
        </is>
      </c>
      <c r="AE430" s="7" t="inlineStr">
        <is>
          <t>26</t>
        </is>
      </c>
      <c r="AF430" s="7" t="inlineStr">
        <is>
          <t>27</t>
        </is>
      </c>
      <c r="AG430" s="7" t="inlineStr">
        <is>
          <t>28</t>
        </is>
      </c>
      <c r="AH430" s="7" t="inlineStr">
        <is>
          <t>29</t>
        </is>
      </c>
      <c r="AI430" s="7" t="inlineStr">
        <is>
          <t>30</t>
        </is>
      </c>
      <c r="AJ430" s="7" t="inlineStr">
        <is>
          <t>31</t>
        </is>
      </c>
    </row>
    <row r="431">
      <c r="A431" s="1" t="inlineStr">
        <is>
          <t>53852-3</t>
        </is>
      </c>
      <c r="B431" s="1" t="inlineStr">
        <is>
          <t>OGURA KA</t>
        </is>
      </c>
      <c r="C431" s="1" t="inlineStr"/>
      <c r="D431" s="1" t="inlineStr"/>
      <c r="E431" s="1" t="n">
        <v>192</v>
      </c>
      <c r="F431" s="9" t="inlineStr">
        <is>
          <t>HH</t>
        </is>
      </c>
      <c r="G431" s="9" t="inlineStr">
        <is>
          <t>HH</t>
        </is>
      </c>
      <c r="H431" s="9" t="inlineStr">
        <is>
          <t>PE
PE TRN
PE
PE TRN</t>
        </is>
      </c>
      <c r="I431" s="9" t="inlineStr">
        <is>
          <t>VACN</t>
        </is>
      </c>
      <c r="J431" s="9" t="inlineStr">
        <is>
          <t>VACK</t>
        </is>
      </c>
      <c r="K431" s="9" t="inlineStr">
        <is>
          <t>H</t>
        </is>
      </c>
      <c r="L431" s="9" t="inlineStr">
        <is>
          <t>VACK</t>
        </is>
      </c>
      <c r="M431" s="9" t="inlineStr">
        <is>
          <t>VACK</t>
        </is>
      </c>
      <c r="N431" s="9" t="inlineStr">
        <is>
          <t>VACK</t>
        </is>
      </c>
      <c r="O431" s="9" t="inlineStr">
        <is>
          <t>BLK</t>
        </is>
      </c>
      <c r="P431" s="9" t="inlineStr">
        <is>
          <t>BLK</t>
        </is>
      </c>
      <c r="Q431" s="9" t="inlineStr">
        <is>
          <t>OTHR
TRN
#2
20:00-22:00</t>
        </is>
      </c>
      <c r="R431" s="9" t="inlineStr">
        <is>
          <t>H</t>
        </is>
      </c>
      <c r="S431" s="9" t="inlineStr">
        <is>
          <t>H</t>
        </is>
      </c>
      <c r="T431" s="9" t="inlineStr">
        <is>
          <t>M11
TRN
#1
21:00-23:00</t>
        </is>
      </c>
      <c r="U431" s="9" t="inlineStr">
        <is>
          <t>139</t>
        </is>
      </c>
      <c r="V431" s="9" t="inlineStr">
        <is>
          <t>116
125
128</t>
        </is>
      </c>
      <c r="W431" s="9" t="inlineStr">
        <is>
          <t>SX</t>
        </is>
      </c>
      <c r="X431" s="9" t="inlineStr">
        <is>
          <t>H</t>
        </is>
      </c>
      <c r="Y431" s="9" t="inlineStr">
        <is>
          <t>H</t>
        </is>
      </c>
      <c r="Z431" s="9" t="inlineStr">
        <is>
          <t>305
308
515</t>
        </is>
      </c>
      <c r="AA431" s="9" t="inlineStr">
        <is>
          <t>514
329
332</t>
        </is>
      </c>
      <c r="AB431" s="9" t="inlineStr">
        <is>
          <t>H</t>
        </is>
      </c>
      <c r="AC431" s="9" t="inlineStr">
        <is>
          <t>PH3
TRN</t>
        </is>
      </c>
      <c r="AD431" s="9" t="inlineStr">
        <is>
          <t>725</t>
        </is>
      </c>
      <c r="AE431" s="9" t="inlineStr">
        <is>
          <t>---</t>
        </is>
      </c>
      <c r="AF431" s="9" t="inlineStr">
        <is>
          <t>726</t>
        </is>
      </c>
      <c r="AG431" s="9" t="inlineStr">
        <is>
          <t>*H</t>
        </is>
      </c>
      <c r="AH431" s="9" t="inlineStr">
        <is>
          <t>H</t>
        </is>
      </c>
      <c r="AI431" s="9" t="inlineStr">
        <is>
          <t>H</t>
        </is>
      </c>
      <c r="AJ431" s="9" t="inlineStr">
        <is>
          <t>23
24</t>
        </is>
      </c>
    </row>
    <row r="432">
      <c r="A432" s="1" t="inlineStr">
        <is>
          <t>53852-4</t>
        </is>
      </c>
      <c r="B432" s="1" t="inlineStr">
        <is>
          <t>OGURA KA</t>
        </is>
      </c>
      <c r="C432" s="1" t="inlineStr"/>
      <c r="D432" s="1" t="inlineStr"/>
      <c r="E432" s="1" t="n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  <c r="P432" s="9" t="inlineStr"/>
      <c r="Q432" s="9">
        <f>HYPERLINK("#Schedule!F2", "I原田 YU (41171)")</f>
        <v/>
      </c>
      <c r="R432" s="9" t="inlineStr"/>
      <c r="S432" s="9" t="inlineStr"/>
      <c r="T432" s="9" t="inlineStr">
        <is>
          <t>T粉川 TA</t>
        </is>
      </c>
      <c r="U432" s="9" t="inlineStr"/>
      <c r="V432" s="9" t="inlineStr"/>
      <c r="W432" s="9" t="inlineStr"/>
      <c r="X432" s="9" t="inlineStr"/>
      <c r="Y432" s="9" t="inlineStr"/>
      <c r="Z432" s="9">
        <f>HYPERLINK("#Schedule!F221", "中村TS (48009)")</f>
        <v/>
      </c>
      <c r="AA432" s="9">
        <f>HYPERLINK("#Schedule!F221", "中村TS (48009)")</f>
        <v/>
      </c>
      <c r="AB432" s="9" t="inlineStr"/>
      <c r="AC432" s="9" t="inlineStr"/>
      <c r="AD432" s="9" t="inlineStr"/>
      <c r="AE432" s="9" t="inlineStr"/>
      <c r="AF432" s="9" t="inlineStr"/>
      <c r="AG432" s="9" t="inlineStr"/>
      <c r="AH432" s="9" t="inlineStr"/>
      <c r="AI432" s="9" t="inlineStr"/>
      <c r="AJ432" s="9" t="inlineStr"/>
    </row>
    <row r="433">
      <c r="A433" s="1" t="inlineStr">
        <is>
          <t>38604-1</t>
        </is>
      </c>
      <c r="B433" s="1" t="inlineStr">
        <is>
          <t>TOYAMA SH</t>
        </is>
      </c>
      <c r="C433" s="1" t="inlineStr"/>
      <c r="D433" s="1" t="inlineStr"/>
      <c r="E433" s="1" t="n">
        <v>176</v>
      </c>
      <c r="F433" s="4" t="inlineStr">
        <is>
          <t>TOYAMASH</t>
        </is>
      </c>
      <c r="G433" s="4" t="inlineStr">
        <is>
          <t>SH</t>
        </is>
      </c>
      <c r="H433" s="4" t="inlineStr">
        <is>
          <t>機種：</t>
        </is>
      </c>
      <c r="I433" s="4" t="inlineStr">
        <is>
          <t>787</t>
        </is>
      </c>
      <c r="J433" s="4" t="inlineStr">
        <is>
          <t>ランク：</t>
        </is>
      </c>
      <c r="K433" s="4" t="inlineStr">
        <is>
          <t>FO</t>
        </is>
      </c>
      <c r="L433" s="4" t="inlineStr">
        <is>
          <t>期：</t>
        </is>
      </c>
      <c r="M433" s="4" t="inlineStr">
        <is>
          <t>176</t>
        </is>
      </c>
      <c r="N433" s="4" t="inlineStr">
        <is>
          <t>職番：</t>
        </is>
      </c>
      <c r="O433" s="4" t="inlineStr">
        <is>
          <t>00038604</t>
        </is>
      </c>
      <c r="P433" s="4" t="inlineStr">
        <is>
          <t>所属：</t>
        </is>
      </c>
      <c r="Q433" s="4" t="inlineStr">
        <is>
          <t>NWZNW</t>
        </is>
      </c>
      <c r="R433" s="4" t="inlineStr">
        <is>
          <t>CAT資：</t>
        </is>
      </c>
      <c r="S433" s="4" t="inlineStr">
        <is>
          <t>CAT3</t>
        </is>
      </c>
      <c r="T433" s="4" t="inlineStr">
        <is>
          <t>T/O：</t>
        </is>
      </c>
      <c r="U433" s="4" t="inlineStr">
        <is>
          <t>3T251005</t>
        </is>
      </c>
      <c r="V433" s="4" t="inlineStr">
        <is>
          <t>L/D：</t>
        </is>
      </c>
      <c r="W433" s="4" t="inlineStr">
        <is>
          <t>3L251005</t>
        </is>
      </c>
      <c r="X433" s="4" t="inlineStr">
        <is>
          <t>PE：</t>
        </is>
      </c>
      <c r="Y433" s="5" t="inlineStr">
        <is>
          <t>PE260505</t>
        </is>
      </c>
      <c r="Z433" s="4" t="inlineStr">
        <is>
          <t>誕生月：</t>
        </is>
      </c>
      <c r="AA433" s="4" t="inlineStr">
        <is>
          <t>07</t>
        </is>
      </c>
      <c r="AB433" s="6" t="inlineStr">
        <is>
          <t>電話：</t>
        </is>
      </c>
      <c r="AC433" s="6" t="inlineStr">
        <is>
          <t>045-776-0359</t>
        </is>
      </c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</row>
    <row r="434">
      <c r="A434" s="1" t="inlineStr">
        <is>
          <t>38604-2</t>
        </is>
      </c>
      <c r="B434" s="1" t="inlineStr">
        <is>
          <t>TOYAMA SH</t>
        </is>
      </c>
      <c r="C434" s="1" t="inlineStr"/>
      <c r="D434" s="1" t="inlineStr"/>
      <c r="E434" s="1" t="n">
        <v>176</v>
      </c>
      <c r="F434" s="7" t="inlineStr">
        <is>
          <t>01</t>
        </is>
      </c>
      <c r="G434" s="7" t="inlineStr">
        <is>
          <t>02</t>
        </is>
      </c>
      <c r="H434" s="8" t="inlineStr">
        <is>
          <t>03</t>
        </is>
      </c>
      <c r="I434" s="7" t="inlineStr">
        <is>
          <t>04</t>
        </is>
      </c>
      <c r="J434" s="8" t="inlineStr">
        <is>
          <t>05</t>
        </is>
      </c>
      <c r="K434" s="7" t="inlineStr">
        <is>
          <t>06</t>
        </is>
      </c>
      <c r="L434" s="7" t="inlineStr">
        <is>
          <t>07</t>
        </is>
      </c>
      <c r="M434" s="8" t="inlineStr">
        <is>
          <t>08</t>
        </is>
      </c>
      <c r="N434" s="7" t="inlineStr">
        <is>
          <t>09</t>
        </is>
      </c>
      <c r="O434" s="7" t="inlineStr">
        <is>
          <t>10</t>
        </is>
      </c>
      <c r="P434" s="7" t="inlineStr">
        <is>
          <t>11</t>
        </is>
      </c>
      <c r="Q434" s="7" t="inlineStr">
        <is>
          <t>12</t>
        </is>
      </c>
      <c r="R434" s="7" t="inlineStr">
        <is>
          <t>13</t>
        </is>
      </c>
      <c r="S434" s="8" t="inlineStr">
        <is>
          <t>14</t>
        </is>
      </c>
      <c r="T434" s="7" t="inlineStr">
        <is>
          <t>15</t>
        </is>
      </c>
      <c r="U434" s="7" t="inlineStr">
        <is>
          <t>16</t>
        </is>
      </c>
      <c r="V434" s="7" t="inlineStr">
        <is>
          <t>17</t>
        </is>
      </c>
      <c r="W434" s="7" t="inlineStr">
        <is>
          <t>18</t>
        </is>
      </c>
      <c r="X434" s="8" t="inlineStr">
        <is>
          <t>19</t>
        </is>
      </c>
      <c r="Y434" s="8" t="inlineStr">
        <is>
          <t>20</t>
        </is>
      </c>
      <c r="Z434" s="7" t="inlineStr">
        <is>
          <t>21</t>
        </is>
      </c>
      <c r="AA434" s="7" t="inlineStr">
        <is>
          <t>22</t>
        </is>
      </c>
      <c r="AB434" s="8" t="inlineStr">
        <is>
          <t>23</t>
        </is>
      </c>
      <c r="AC434" s="7" t="inlineStr">
        <is>
          <t>24</t>
        </is>
      </c>
      <c r="AD434" s="8" t="inlineStr">
        <is>
          <t>25</t>
        </is>
      </c>
      <c r="AE434" s="7" t="inlineStr">
        <is>
          <t>26</t>
        </is>
      </c>
      <c r="AF434" s="8" t="inlineStr">
        <is>
          <t>27</t>
        </is>
      </c>
      <c r="AG434" s="7" t="inlineStr">
        <is>
          <t>28</t>
        </is>
      </c>
      <c r="AH434" s="7" t="inlineStr">
        <is>
          <t>29</t>
        </is>
      </c>
      <c r="AI434" s="7" t="inlineStr">
        <is>
          <t>30</t>
        </is>
      </c>
      <c r="AJ434" s="12" t="inlineStr">
        <is>
          <t>31</t>
        </is>
      </c>
    </row>
    <row r="435">
      <c r="A435" s="1" t="inlineStr">
        <is>
          <t>38604-3</t>
        </is>
      </c>
      <c r="B435" s="1" t="inlineStr">
        <is>
          <t>TOYAMA SH</t>
        </is>
      </c>
      <c r="C435" s="1" t="inlineStr"/>
      <c r="D435" s="1" t="inlineStr"/>
      <c r="E435" s="1" t="n">
        <v>176</v>
      </c>
      <c r="F435" s="9" t="inlineStr">
        <is>
          <t>H</t>
        </is>
      </c>
      <c r="G435" s="9" t="inlineStr">
        <is>
          <t>H</t>
        </is>
      </c>
      <c r="H435" s="9" t="inlineStr">
        <is>
          <t>759
CAUG TRN</t>
        </is>
      </c>
      <c r="I435" s="9" t="inlineStr">
        <is>
          <t>---</t>
        </is>
      </c>
      <c r="J435" s="9" t="inlineStr">
        <is>
          <t>70
CAUG TRN</t>
        </is>
      </c>
      <c r="K435" s="9" t="inlineStr">
        <is>
          <t>HH</t>
        </is>
      </c>
      <c r="L435" s="9" t="inlineStr">
        <is>
          <t>HH</t>
        </is>
      </c>
      <c r="M435" s="9" t="inlineStr">
        <is>
          <t>23
CAUG TRN
24
CAUG TRN</t>
        </is>
      </c>
      <c r="N435" s="9" t="inlineStr">
        <is>
          <t>VAC</t>
        </is>
      </c>
      <c r="O435" s="9" t="inlineStr">
        <is>
          <t>BLK</t>
        </is>
      </c>
      <c r="P435" s="9" t="inlineStr">
        <is>
          <t>BLK</t>
        </is>
      </c>
      <c r="Q435" s="9" t="inlineStr">
        <is>
          <t>BLK</t>
        </is>
      </c>
      <c r="R435" s="9" t="inlineStr">
        <is>
          <t>BLK</t>
        </is>
      </c>
      <c r="S435" s="9" t="inlineStr">
        <is>
          <t>23
CAUG TRN
24
CAUG TRN</t>
        </is>
      </c>
      <c r="T435" s="9" t="inlineStr">
        <is>
          <t>BLK</t>
        </is>
      </c>
      <c r="U435" s="9" t="inlineStr">
        <is>
          <t>BLK</t>
        </is>
      </c>
      <c r="V435" s="9" t="inlineStr">
        <is>
          <t>*H</t>
        </is>
      </c>
      <c r="W435" s="9" t="inlineStr">
        <is>
          <t>H</t>
        </is>
      </c>
      <c r="X435" s="9" t="inlineStr">
        <is>
          <t>101
CAUG TRN
106
CAUG TRN
113
CAUG TRN</t>
        </is>
      </c>
      <c r="Y435" s="9" t="inlineStr">
        <is>
          <t>104
CAUG TRN
111
CAUG TRN
114
CAUG TRN</t>
        </is>
      </c>
      <c r="Z435" s="9" t="inlineStr">
        <is>
          <t>H</t>
        </is>
      </c>
      <c r="AA435" s="9" t="inlineStr">
        <is>
          <t>H</t>
        </is>
      </c>
      <c r="AB435" s="9" t="inlineStr">
        <is>
          <t>725
CAUG TRN</t>
        </is>
      </c>
      <c r="AC435" s="9" t="inlineStr">
        <is>
          <t>---</t>
        </is>
      </c>
      <c r="AD435" s="9" t="inlineStr">
        <is>
          <t>726
CAUG TRN</t>
        </is>
      </c>
      <c r="AE435" s="9" t="inlineStr">
        <is>
          <t>*H</t>
        </is>
      </c>
      <c r="AF435" s="9" t="inlineStr">
        <is>
          <t>91
CAUG TRN
92
CAUG TRN</t>
        </is>
      </c>
      <c r="AG435" s="9" t="inlineStr">
        <is>
          <t>H</t>
        </is>
      </c>
      <c r="AH435" s="9" t="inlineStr">
        <is>
          <t>CAUG
TRN
#1
21:00-23:00
OJTS</t>
        </is>
      </c>
      <c r="AI435" s="9" t="inlineStr">
        <is>
          <t>H</t>
        </is>
      </c>
      <c r="AJ435" s="9" t="inlineStr">
        <is>
          <t>M21
TRN</t>
        </is>
      </c>
    </row>
    <row r="436">
      <c r="A436" s="1" t="inlineStr">
        <is>
          <t>38604-4</t>
        </is>
      </c>
      <c r="B436" s="1" t="inlineStr">
        <is>
          <t>TOYAMA SH</t>
        </is>
      </c>
      <c r="C436" s="1" t="inlineStr"/>
      <c r="D436" s="1" t="inlineStr"/>
      <c r="E436" s="1" t="n"/>
      <c r="F436" s="9" t="inlineStr"/>
      <c r="G436" s="9" t="inlineStr"/>
      <c r="H436" s="9" t="inlineStr">
        <is>
          <t>TAKAMIKE</t>
        </is>
      </c>
      <c r="I436" s="9" t="inlineStr"/>
      <c r="J436" s="9" t="inlineStr">
        <is>
          <t>TAKAMIKE</t>
        </is>
      </c>
      <c r="K436" s="9" t="inlineStr"/>
      <c r="L436" s="9" t="inlineStr"/>
      <c r="M436" s="9">
        <f>HYPERLINK("#Schedule!F208", "本田 SH (40789)")</f>
        <v/>
      </c>
      <c r="N436" s="9" t="inlineStr"/>
      <c r="O436" s="9" t="inlineStr"/>
      <c r="P436" s="9" t="inlineStr"/>
      <c r="Q436" s="9" t="inlineStr"/>
      <c r="R436" s="9" t="inlineStr"/>
      <c r="S436" s="9">
        <f>HYPERLINK("#Schedule!F212", "白井 MC (41213)")</f>
        <v/>
      </c>
      <c r="T436" s="9" t="inlineStr"/>
      <c r="U436" s="9" t="inlineStr"/>
      <c r="V436" s="9" t="inlineStr"/>
      <c r="W436" s="9" t="inlineStr"/>
      <c r="X436" s="9">
        <f>HYPERLINK("#Schedule!F217", "上垣 NO (44871)")</f>
        <v/>
      </c>
      <c r="Y436" s="9">
        <f>HYPERLINK("#Schedule!F217", "上垣 NO (44871)")</f>
        <v/>
      </c>
      <c r="Z436" s="9" t="inlineStr"/>
      <c r="AA436" s="9" t="inlineStr"/>
      <c r="AB436" s="9">
        <f>HYPERLINK("#Schedule!F73", "木村  (41574)")</f>
        <v/>
      </c>
      <c r="AC436" s="9" t="inlineStr"/>
      <c r="AD436" s="9">
        <f>HYPERLINK("#Schedule!F73", "木村  (41574)")</f>
        <v/>
      </c>
      <c r="AE436" s="9" t="inlineStr"/>
      <c r="AF436" s="9">
        <f>HYPERLINK("#Schedule!F191", "金光 AK (67770)")</f>
        <v/>
      </c>
      <c r="AG436" s="9" t="inlineStr"/>
      <c r="AH436" s="9" t="inlineStr">
        <is>
          <t>I荒木 YU</t>
        </is>
      </c>
      <c r="AI436" s="9" t="inlineStr"/>
      <c r="AJ436" s="9" t="inlineStr"/>
    </row>
    <row r="437">
      <c r="A437" s="1" t="inlineStr">
        <is>
          <t>48991-1</t>
        </is>
      </c>
      <c r="B437" s="1" t="inlineStr">
        <is>
          <t>HAYASHI KA</t>
        </is>
      </c>
      <c r="C437" s="1" t="inlineStr"/>
      <c r="D437" s="1" t="inlineStr"/>
      <c r="E437" s="1" t="n">
        <v>21</v>
      </c>
      <c r="F437" s="4" t="inlineStr">
        <is>
          <t>HAYASHIKA</t>
        </is>
      </c>
      <c r="G437" s="4" t="inlineStr">
        <is>
          <t>KA</t>
        </is>
      </c>
      <c r="H437" s="4" t="inlineStr">
        <is>
          <t>機種：</t>
        </is>
      </c>
      <c r="I437" s="4" t="inlineStr">
        <is>
          <t>787</t>
        </is>
      </c>
      <c r="J437" s="4" t="inlineStr">
        <is>
          <t>ランク：</t>
        </is>
      </c>
      <c r="K437" s="4" t="inlineStr">
        <is>
          <t>FO</t>
        </is>
      </c>
      <c r="L437" s="4" t="inlineStr">
        <is>
          <t>期：</t>
        </is>
      </c>
      <c r="M437" s="4" t="inlineStr">
        <is>
          <t>021</t>
        </is>
      </c>
      <c r="N437" s="4" t="inlineStr">
        <is>
          <t>職番：</t>
        </is>
      </c>
      <c r="O437" s="4" t="inlineStr">
        <is>
          <t>00048991</t>
        </is>
      </c>
      <c r="P437" s="4" t="inlineStr">
        <is>
          <t>所属：</t>
        </is>
      </c>
      <c r="Q437" s="4" t="inlineStr">
        <is>
          <t>NWZNW</t>
        </is>
      </c>
      <c r="R437" s="4" t="inlineStr">
        <is>
          <t>CAT資：</t>
        </is>
      </c>
      <c r="S437" s="4" t="inlineStr">
        <is>
          <t>CAT3</t>
        </is>
      </c>
      <c r="T437" s="4" t="inlineStr">
        <is>
          <t>T/O：</t>
        </is>
      </c>
      <c r="U437" s="4" t="inlineStr">
        <is>
          <t>3T251004</t>
        </is>
      </c>
      <c r="V437" s="4" t="inlineStr">
        <is>
          <t>L/D：</t>
        </is>
      </c>
      <c r="W437" s="4" t="inlineStr">
        <is>
          <t>3L251004</t>
        </is>
      </c>
      <c r="X437" s="4" t="inlineStr">
        <is>
          <t>PE：</t>
        </is>
      </c>
      <c r="Y437" s="5" t="inlineStr">
        <is>
          <t>PE250823</t>
        </is>
      </c>
      <c r="Z437" s="4" t="inlineStr">
        <is>
          <t>誕生月：</t>
        </is>
      </c>
      <c r="AA437" s="4" t="inlineStr">
        <is>
          <t>07</t>
        </is>
      </c>
      <c r="AB437" s="6" t="inlineStr">
        <is>
          <t>電話：</t>
        </is>
      </c>
      <c r="AC437" s="6" t="inlineStr">
        <is>
          <t>090-2725-9757</t>
        </is>
      </c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</row>
    <row r="438">
      <c r="A438" s="1" t="inlineStr">
        <is>
          <t>48991-2</t>
        </is>
      </c>
      <c r="B438" s="1" t="inlineStr">
        <is>
          <t>HAYASHI KA</t>
        </is>
      </c>
      <c r="C438" s="1" t="inlineStr"/>
      <c r="D438" s="1" t="inlineStr"/>
      <c r="E438" s="1" t="n">
        <v>21</v>
      </c>
      <c r="F438" s="7" t="inlineStr">
        <is>
          <t>01</t>
        </is>
      </c>
      <c r="G438" s="7" t="inlineStr">
        <is>
          <t>02</t>
        </is>
      </c>
      <c r="H438" s="8" t="inlineStr">
        <is>
          <t>03</t>
        </is>
      </c>
      <c r="I438" s="8" t="inlineStr">
        <is>
          <t>04</t>
        </is>
      </c>
      <c r="J438" s="7" t="inlineStr">
        <is>
          <t>05</t>
        </is>
      </c>
      <c r="K438" s="7" t="inlineStr">
        <is>
          <t>06</t>
        </is>
      </c>
      <c r="L438" s="8" t="inlineStr">
        <is>
          <t>07</t>
        </is>
      </c>
      <c r="M438" s="8" t="inlineStr">
        <is>
          <t>08</t>
        </is>
      </c>
      <c r="N438" s="7" t="inlineStr">
        <is>
          <t>09</t>
        </is>
      </c>
      <c r="O438" s="7" t="inlineStr">
        <is>
          <t>10</t>
        </is>
      </c>
      <c r="P438" s="7" t="inlineStr">
        <is>
          <t>11</t>
        </is>
      </c>
      <c r="Q438" s="8" t="inlineStr">
        <is>
          <t>12</t>
        </is>
      </c>
      <c r="R438" s="7" t="inlineStr">
        <is>
          <t>13</t>
        </is>
      </c>
      <c r="S438" s="8" t="inlineStr">
        <is>
          <t>14</t>
        </is>
      </c>
      <c r="T438" s="7" t="inlineStr">
        <is>
          <t>15</t>
        </is>
      </c>
      <c r="U438" s="7" t="inlineStr">
        <is>
          <t>16</t>
        </is>
      </c>
      <c r="V438" s="8" t="inlineStr">
        <is>
          <t>17</t>
        </is>
      </c>
      <c r="W438" s="7" t="inlineStr">
        <is>
          <t>18</t>
        </is>
      </c>
      <c r="X438" s="8" t="inlineStr">
        <is>
          <t>19</t>
        </is>
      </c>
      <c r="Y438" s="7" t="inlineStr">
        <is>
          <t>20</t>
        </is>
      </c>
      <c r="Z438" s="7" t="inlineStr">
        <is>
          <t>21</t>
        </is>
      </c>
      <c r="AA438" s="7" t="inlineStr">
        <is>
          <t>22</t>
        </is>
      </c>
      <c r="AB438" s="8" t="inlineStr">
        <is>
          <t>23</t>
        </is>
      </c>
      <c r="AC438" s="7" t="inlineStr">
        <is>
          <t>24</t>
        </is>
      </c>
      <c r="AD438" s="8" t="inlineStr">
        <is>
          <t>25</t>
        </is>
      </c>
      <c r="AE438" s="7" t="inlineStr">
        <is>
          <t>26</t>
        </is>
      </c>
      <c r="AF438" s="7" t="inlineStr">
        <is>
          <t>27</t>
        </is>
      </c>
      <c r="AG438" s="7" t="inlineStr">
        <is>
          <t>28</t>
        </is>
      </c>
      <c r="AH438" s="7" t="inlineStr">
        <is>
          <t>29</t>
        </is>
      </c>
      <c r="AI438" s="7" t="inlineStr">
        <is>
          <t>30</t>
        </is>
      </c>
      <c r="AJ438" s="7" t="inlineStr">
        <is>
          <t>31</t>
        </is>
      </c>
    </row>
    <row r="439">
      <c r="A439" s="1" t="inlineStr">
        <is>
          <t>48991-3</t>
        </is>
      </c>
      <c r="B439" s="1" t="inlineStr">
        <is>
          <t>HAYASHI KA</t>
        </is>
      </c>
      <c r="C439" s="1" t="inlineStr"/>
      <c r="D439" s="1" t="inlineStr"/>
      <c r="E439" s="1" t="n">
        <v>21</v>
      </c>
      <c r="F439" s="9" t="inlineStr">
        <is>
          <t>H</t>
        </is>
      </c>
      <c r="G439" s="9" t="inlineStr">
        <is>
          <t>H</t>
        </is>
      </c>
      <c r="H439" s="9" t="inlineStr">
        <is>
          <t>101
CMD TRN
106
CMD TRN
113
CMD TRN</t>
        </is>
      </c>
      <c r="I439" s="9" t="inlineStr">
        <is>
          <t>104
CMD TRN
111
CMD TRN
114
CMD TRN</t>
        </is>
      </c>
      <c r="J439" s="9" t="inlineStr">
        <is>
          <t>H</t>
        </is>
      </c>
      <c r="K439" s="9" t="inlineStr">
        <is>
          <t>H</t>
        </is>
      </c>
      <c r="L439" s="9" t="inlineStr">
        <is>
          <t>809
CMD TRN</t>
        </is>
      </c>
      <c r="M439" s="9" t="inlineStr">
        <is>
          <t>802
CMD TRN</t>
        </is>
      </c>
      <c r="N439" s="9" t="inlineStr">
        <is>
          <t>H/VAC</t>
        </is>
      </c>
      <c r="O439" s="9" t="inlineStr">
        <is>
          <t>VACN</t>
        </is>
      </c>
      <c r="P439" s="9" t="inlineStr">
        <is>
          <t>H</t>
        </is>
      </c>
      <c r="Q439" s="9" t="inlineStr">
        <is>
          <t>707
CMD TRN</t>
        </is>
      </c>
      <c r="R439" s="9" t="inlineStr">
        <is>
          <t>---</t>
        </is>
      </c>
      <c r="S439" s="9" t="inlineStr">
        <is>
          <t>728
CMD TRN
224DH</t>
        </is>
      </c>
      <c r="T439" s="9" t="inlineStr">
        <is>
          <t>H</t>
        </is>
      </c>
      <c r="U439" s="9" t="inlineStr">
        <is>
          <t>PE
PE TRN
PE
PE TRN</t>
        </is>
      </c>
      <c r="V439" s="9" t="inlineStr">
        <is>
          <t>745
CMD TRN</t>
        </is>
      </c>
      <c r="W439" s="9" t="inlineStr">
        <is>
          <t>---</t>
        </is>
      </c>
      <c r="X439" s="9" t="inlineStr">
        <is>
          <t>78
CMD TRN</t>
        </is>
      </c>
      <c r="Y439" s="9" t="inlineStr">
        <is>
          <t>H</t>
        </is>
      </c>
      <c r="Z439" s="9" t="inlineStr">
        <is>
          <t>H</t>
        </is>
      </c>
      <c r="AA439" s="9" t="inlineStr">
        <is>
          <t>CMD
TRN
#2
21:00-23:00</t>
        </is>
      </c>
      <c r="AB439" s="9" t="inlineStr">
        <is>
          <t>759
CMD TRN</t>
        </is>
      </c>
      <c r="AC439" s="9" t="inlineStr">
        <is>
          <t>---</t>
        </is>
      </c>
      <c r="AD439" s="9" t="inlineStr">
        <is>
          <t>70
CMD TRN</t>
        </is>
      </c>
      <c r="AE439" s="9" t="inlineStr">
        <is>
          <t>H</t>
        </is>
      </c>
      <c r="AF439" s="9" t="inlineStr">
        <is>
          <t>H</t>
        </is>
      </c>
      <c r="AG439" s="9" t="inlineStr">
        <is>
          <t>R</t>
        </is>
      </c>
      <c r="AH439" s="9" t="inlineStr">
        <is>
          <t>8786</t>
        </is>
      </c>
      <c r="AI439" s="9" t="inlineStr">
        <is>
          <t>---</t>
        </is>
      </c>
      <c r="AJ439" s="9" t="inlineStr">
        <is>
          <t>791
130DH</t>
        </is>
      </c>
    </row>
    <row r="440">
      <c r="A440" s="1" t="inlineStr">
        <is>
          <t>48991-4</t>
        </is>
      </c>
      <c r="B440" s="1" t="inlineStr">
        <is>
          <t>HAYASHI KA</t>
        </is>
      </c>
      <c r="C440" s="1" t="inlineStr"/>
      <c r="D440" s="1" t="inlineStr"/>
      <c r="E440" s="1" t="n"/>
      <c r="F440" s="9" t="inlineStr"/>
      <c r="G440" s="9" t="inlineStr"/>
      <c r="H440" s="9">
        <f>HYPERLINK("#Schedule!F77", "古池 TO (67650)")</f>
        <v/>
      </c>
      <c r="I440" s="9">
        <f>HYPERLINK("#Schedule!F77", "古池 TO (67650)")</f>
        <v/>
      </c>
      <c r="J440" s="9" t="inlineStr"/>
      <c r="K440" s="9" t="inlineStr"/>
      <c r="L440" s="9">
        <f>HYPERLINK("#Schedule!F152", "小原 TA (39676)")</f>
        <v/>
      </c>
      <c r="M440" s="9">
        <f>HYPERLINK("#Schedule!F152", "小原 TA (39676)")</f>
        <v/>
      </c>
      <c r="N440" s="9" t="inlineStr"/>
      <c r="O440" s="9" t="inlineStr"/>
      <c r="P440" s="9" t="inlineStr"/>
      <c r="Q440" s="9">
        <f>HYPERLINK("#Schedule!F243", "山崎 KE (37255)")</f>
        <v/>
      </c>
      <c r="R440" s="9" t="inlineStr"/>
      <c r="S440" s="9">
        <f>HYPERLINK("#Schedule!F243", "山崎 KE (37255)")</f>
        <v/>
      </c>
      <c r="T440" s="9" t="inlineStr"/>
      <c r="U440" s="9" t="inlineStr"/>
      <c r="V440" s="9">
        <f>HYPERLINK("#Schedule!F90", "西野 HI (39361)")</f>
        <v/>
      </c>
      <c r="W440" s="9" t="inlineStr"/>
      <c r="X440" s="9">
        <f>HYPERLINK("#Schedule!F90", "西野 HI (39361)")</f>
        <v/>
      </c>
      <c r="Y440" s="9" t="inlineStr"/>
      <c r="Z440" s="9" t="inlineStr"/>
      <c r="AA440" s="9">
        <f>HYPERLINK("#Schedule!F32", "I北川 IC (37702)")</f>
        <v/>
      </c>
      <c r="AB440" s="9">
        <f>HYPERLINK("#Schedule!F123", "田二見 SH (49377)")</f>
        <v/>
      </c>
      <c r="AC440" s="9" t="inlineStr"/>
      <c r="AD440" s="9">
        <f>HYPERLINK("#Schedule!F123", "田二見 SH (49377)")</f>
        <v/>
      </c>
      <c r="AE440" s="9" t="inlineStr"/>
      <c r="AF440" s="9" t="inlineStr"/>
      <c r="AG440" s="9" t="inlineStr"/>
      <c r="AH440" s="9" t="inlineStr"/>
      <c r="AI440" s="9" t="inlineStr"/>
      <c r="AJ440" s="9" t="inlineStr"/>
    </row>
    <row r="441">
      <c r="A441" s="1" t="inlineStr">
        <is>
          <t>48991-5</t>
        </is>
      </c>
      <c r="B441" s="1" t="inlineStr">
        <is>
          <t>HAYASHI KA</t>
        </is>
      </c>
      <c r="C441" s="1" t="inlineStr"/>
      <c r="D441" s="1" t="inlineStr"/>
      <c r="E441" s="1" t="n"/>
    </row>
    <row r="442">
      <c r="A442" s="1" t="inlineStr">
        <is>
          <t>48991-6</t>
        </is>
      </c>
      <c r="B442" s="1" t="inlineStr">
        <is>
          <t>HAYASHI KA</t>
        </is>
      </c>
      <c r="C442" s="1" t="inlineStr"/>
      <c r="D442" s="1" t="inlineStr"/>
      <c r="E442" s="1" t="n"/>
    </row>
    <row r="443">
      <c r="A443" s="1" t="inlineStr">
        <is>
          <t>48991-7</t>
        </is>
      </c>
      <c r="B443" s="1" t="inlineStr">
        <is>
          <t>HAYASHI KA</t>
        </is>
      </c>
      <c r="C443" s="1" t="inlineStr"/>
      <c r="D443" s="1" t="inlineStr"/>
      <c r="E443" s="1" t="n"/>
    </row>
    <row r="444">
      <c r="A444" s="1" t="inlineStr">
        <is>
          <t>48991-8</t>
        </is>
      </c>
      <c r="B444" s="1" t="inlineStr">
        <is>
          <t>HAYASHI KA</t>
        </is>
      </c>
      <c r="C444" s="1" t="inlineStr"/>
      <c r="D444" s="1" t="inlineStr"/>
      <c r="E444" s="1" t="n"/>
    </row>
    <row r="445">
      <c r="A445" s="1" t="inlineStr">
        <is>
          <t>48991-9</t>
        </is>
      </c>
      <c r="B445" s="1" t="inlineStr">
        <is>
          <t>HAYASHI KA</t>
        </is>
      </c>
      <c r="C445" s="1" t="inlineStr"/>
      <c r="D445" s="1" t="inlineStr"/>
      <c r="E445" s="1" t="n"/>
    </row>
    <row r="446">
      <c r="A446" s="1" t="inlineStr">
        <is>
          <t>48991-10</t>
        </is>
      </c>
      <c r="B446" s="1" t="inlineStr">
        <is>
          <t>HAYASHI KA</t>
        </is>
      </c>
      <c r="C446" s="1" t="inlineStr"/>
      <c r="D446" s="1" t="inlineStr"/>
      <c r="E446" s="1" t="n"/>
    </row>
    <row r="447">
      <c r="A447" s="1" t="inlineStr">
        <is>
          <t>48991-11</t>
        </is>
      </c>
      <c r="B447" s="1" t="inlineStr">
        <is>
          <t>HAYASHI KA</t>
        </is>
      </c>
      <c r="C447" s="1" t="inlineStr"/>
      <c r="D447" s="1" t="inlineStr"/>
      <c r="E447" s="1" t="n"/>
    </row>
    <row r="448">
      <c r="A448" s="1" t="inlineStr">
        <is>
          <t>48991-12</t>
        </is>
      </c>
      <c r="B448" s="1" t="inlineStr">
        <is>
          <t>HAYASHI KA</t>
        </is>
      </c>
      <c r="C448" s="1" t="inlineStr"/>
      <c r="D448" s="1" t="inlineStr"/>
      <c r="E448" s="1" t="n"/>
    </row>
    <row r="449">
      <c r="A449" s="1" t="inlineStr">
        <is>
          <t>48991-13</t>
        </is>
      </c>
      <c r="B449" s="1" t="inlineStr">
        <is>
          <t>HAYASHI KA</t>
        </is>
      </c>
      <c r="C449" s="1" t="inlineStr"/>
      <c r="D449" s="1" t="inlineStr"/>
      <c r="E449" s="1" t="n"/>
    </row>
    <row r="450">
      <c r="A450" s="1" t="inlineStr">
        <is>
          <t>48991-14</t>
        </is>
      </c>
      <c r="B450" s="1" t="inlineStr">
        <is>
          <t>HAYASHI KA</t>
        </is>
      </c>
      <c r="C450" s="1" t="inlineStr"/>
      <c r="D450" s="1" t="inlineStr"/>
      <c r="E450" s="1" t="n"/>
    </row>
  </sheetData>
  <autoFilter ref="A1:E4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説明</t>
        </is>
      </c>
      <c r="B1" t="inlineStr">
        <is>
          <t>色見本</t>
        </is>
      </c>
    </row>
    <row r="2">
      <c r="A2" t="inlineStr">
        <is>
          <t>前回Excelと今回の値が異なるセルをハイライト</t>
        </is>
      </c>
      <c r="B2" s="16" t="inlineStr">
        <is>
          <t>差分セル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2025-08-20T12:53:17Z</dcterms:created>
  <dcterms:modified xsi:type="dcterms:W3CDTF">2025-08-20T12:53:18Z</dcterms:modified>
</cp:coreProperties>
</file>