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agu/Desktop/NVZ_SKD/"/>
    </mc:Choice>
  </mc:AlternateContent>
  <xr:revisionPtr revIDLastSave="0" documentId="13_ncr:1_{F6533498-665A-CE43-9D4E-C4BF2226CB88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9" i="1" l="1"/>
  <c r="C29" i="1"/>
  <c r="AD28" i="1"/>
  <c r="Z28" i="1"/>
  <c r="Y28" i="1"/>
  <c r="X28" i="1"/>
  <c r="W28" i="1"/>
  <c r="J28" i="1"/>
  <c r="I28" i="1"/>
  <c r="H28" i="1"/>
  <c r="C28" i="1"/>
  <c r="G24" i="1"/>
  <c r="C24" i="1"/>
  <c r="AE23" i="1"/>
  <c r="AD23" i="1"/>
  <c r="Z23" i="1"/>
  <c r="Y23" i="1"/>
  <c r="X23" i="1"/>
  <c r="Q23" i="1"/>
  <c r="G23" i="1"/>
  <c r="C23" i="1"/>
  <c r="H19" i="1"/>
  <c r="E19" i="1"/>
  <c r="A19" i="1"/>
  <c r="AE18" i="1"/>
  <c r="Z18" i="1"/>
  <c r="T18" i="1"/>
  <c r="S18" i="1"/>
  <c r="R18" i="1"/>
  <c r="H18" i="1"/>
  <c r="E18" i="1"/>
  <c r="A18" i="1"/>
  <c r="AA14" i="1"/>
  <c r="X14" i="1"/>
  <c r="B14" i="1"/>
  <c r="AE13" i="1"/>
  <c r="AA13" i="1"/>
  <c r="X13" i="1"/>
  <c r="H13" i="1"/>
  <c r="F13" i="1"/>
  <c r="B13" i="1"/>
  <c r="Y9" i="1"/>
  <c r="V9" i="1"/>
  <c r="U9" i="1"/>
  <c r="T9" i="1"/>
  <c r="N9" i="1"/>
  <c r="M9" i="1"/>
  <c r="A5" i="1"/>
  <c r="J4" i="1"/>
  <c r="A4" i="1"/>
</calcChain>
</file>

<file path=xl/sharedStrings.xml><?xml version="1.0" encoding="utf-8"?>
<sst xmlns="http://schemas.openxmlformats.org/spreadsheetml/2006/main" count="516" uniqueCount="154">
  <si>
    <t>南雲YO</t>
  </si>
  <si>
    <t>YO</t>
  </si>
  <si>
    <t>機種：</t>
  </si>
  <si>
    <t>350</t>
  </si>
  <si>
    <t>ランク：</t>
  </si>
  <si>
    <t>CAP</t>
  </si>
  <si>
    <t>期：</t>
  </si>
  <si>
    <t>職番：</t>
  </si>
  <si>
    <t>00039680</t>
  </si>
  <si>
    <t>所属：</t>
  </si>
  <si>
    <t>NVZNVB</t>
  </si>
  <si>
    <t>CAT資：</t>
  </si>
  <si>
    <t>CAT3</t>
  </si>
  <si>
    <t>T/O：</t>
  </si>
  <si>
    <t>3T250922</t>
  </si>
  <si>
    <t>L/D：</t>
  </si>
  <si>
    <t>3L250922</t>
  </si>
  <si>
    <t>PE：</t>
  </si>
  <si>
    <t>PE250911</t>
  </si>
  <si>
    <t>誕生月：</t>
  </si>
  <si>
    <t>03</t>
  </si>
  <si>
    <t>電話：</t>
  </si>
  <si>
    <t>045-625-9585</t>
  </si>
  <si>
    <t>NVB001</t>
  </si>
  <si>
    <t>01</t>
  </si>
  <si>
    <t>02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</si>
  <si>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</si>
  <si>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</si>
  <si>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</si>
  <si>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</si>
  <si>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</si>
  <si>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</si>
  <si>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</si>
  <si>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</si>
  <si>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</si>
  <si>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</si>
  <si>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</si>
  <si>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</si>
  <si>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</si>
  <si>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</si>
  <si>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</si>
  <si>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</si>
  <si>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</si>
  <si>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</si>
  <si>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</si>
  <si>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</si>
  <si>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</si>
  <si>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</si>
  <si>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</si>
  <si>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</si>
  <si>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</si>
  <si>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</si>
  <si>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</si>
  <si>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</si>
  <si>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919
LM_O ISR
918
LM_O ISR</t>
  </si>
  <si>
    <t>GJ1</t>
  </si>
  <si>
    <t>HH</t>
  </si>
  <si>
    <t>R</t>
  </si>
  <si>
    <t>VAC</t>
  </si>
  <si>
    <t>SKM1</t>
  </si>
  <si>
    <t>H</t>
  </si>
  <si>
    <t>919
918</t>
  </si>
  <si>
    <t>GLM1</t>
  </si>
  <si>
    <t>H/VAC</t>
  </si>
  <si>
    <t>XMN1</t>
  </si>
  <si>
    <t>GMT0</t>
  </si>
  <si>
    <t>R_</t>
  </si>
  <si>
    <t>VACK</t>
  </si>
  <si>
    <t>PE
PE TRN
PE
PE TRN</t>
  </si>
  <si>
    <t>GJ0</t>
  </si>
  <si>
    <t>瀬川TA</t>
  </si>
  <si>
    <t>TA</t>
  </si>
  <si>
    <t>00049147</t>
  </si>
  <si>
    <t>NVZNVA</t>
  </si>
  <si>
    <t>3T250923</t>
  </si>
  <si>
    <t>3L250923</t>
  </si>
  <si>
    <t>PE260309</t>
  </si>
  <si>
    <t>045-715-3363</t>
  </si>
  <si>
    <t>NVA001</t>
  </si>
  <si>
    <t>307
310
321DH</t>
  </si>
  <si>
    <t>300
909</t>
  </si>
  <si>
    <t>910
525
526</t>
  </si>
  <si>
    <t>OYZ1</t>
  </si>
  <si>
    <t>903
904
125DH</t>
  </si>
  <si>
    <t>2081
906</t>
  </si>
  <si>
    <t>MTG1</t>
  </si>
  <si>
    <t>905
2084</t>
  </si>
  <si>
    <t>2087
2088</t>
  </si>
  <si>
    <t>116DH
921
920</t>
  </si>
  <si>
    <t>PEA
PEA TRN</t>
  </si>
  <si>
    <t>OAM1</t>
  </si>
  <si>
    <t>宮澤KE</t>
  </si>
  <si>
    <t>KE</t>
  </si>
  <si>
    <t>00041511</t>
  </si>
  <si>
    <t>NVZNVC</t>
  </si>
  <si>
    <t>3T250731</t>
  </si>
  <si>
    <t>3L250821</t>
  </si>
  <si>
    <t>PE260213</t>
  </si>
  <si>
    <t>090-4178-0052</t>
  </si>
  <si>
    <t>NVC001</t>
  </si>
  <si>
    <t>---</t>
  </si>
  <si>
    <t>44</t>
  </si>
  <si>
    <t>*H</t>
  </si>
  <si>
    <t>901
CFM ISR
902
CFM ISR</t>
  </si>
  <si>
    <t>921
CFM ISR
920
CFM ISR</t>
  </si>
  <si>
    <t>H*/VAC</t>
  </si>
  <si>
    <t>S/R</t>
  </si>
  <si>
    <t>43</t>
  </si>
  <si>
    <t>321
LEF ISR
322
LEF ISR
335</t>
  </si>
  <si>
    <t>佐伯SH</t>
  </si>
  <si>
    <t>SH</t>
  </si>
  <si>
    <t>00046107</t>
  </si>
  <si>
    <t>3T250921</t>
  </si>
  <si>
    <t>3L250916</t>
  </si>
  <si>
    <t>PE260320</t>
  </si>
  <si>
    <t>080-1527-9008</t>
  </si>
  <si>
    <t>NVA002</t>
  </si>
  <si>
    <t>EDU
LDRM TRN</t>
  </si>
  <si>
    <t>905
LEF ISR
2084
LEF ISR</t>
  </si>
  <si>
    <t>907
LEF ISR
908
LEF ISR</t>
  </si>
  <si>
    <t>弘平谷NO</t>
  </si>
  <si>
    <t>NO</t>
  </si>
  <si>
    <t>00041672</t>
  </si>
  <si>
    <t>3T250814</t>
  </si>
  <si>
    <t>3L250812</t>
  </si>
  <si>
    <t>PE250814</t>
  </si>
  <si>
    <t>090-4067-7730</t>
  </si>
  <si>
    <t>NVA003</t>
  </si>
  <si>
    <t>4</t>
  </si>
  <si>
    <t>3</t>
  </si>
  <si>
    <t>SS06</t>
  </si>
  <si>
    <t>901
902</t>
  </si>
  <si>
    <t>503
LEF ISR
504
LEF ISR
319</t>
  </si>
  <si>
    <t>304
315</t>
  </si>
  <si>
    <t>302
313
314</t>
  </si>
  <si>
    <t>915
LEF ISR</t>
  </si>
  <si>
    <t>914
LEF ISR
333</t>
  </si>
  <si>
    <t>伊藤YS</t>
  </si>
  <si>
    <t>YS</t>
  </si>
  <si>
    <t>00045104</t>
  </si>
  <si>
    <t>3T250916</t>
  </si>
  <si>
    <t>PE260513</t>
  </si>
  <si>
    <t>090-9766-9725</t>
  </si>
  <si>
    <t>NVA004</t>
  </si>
  <si>
    <t>NOZ0</t>
  </si>
  <si>
    <t>307
LEF ISR
310
LEF ISR
321DH</t>
  </si>
  <si>
    <t>A11</t>
  </si>
  <si>
    <t>OFZ1</t>
  </si>
  <si>
    <t>NTV1</t>
  </si>
  <si>
    <t>IOC1</t>
  </si>
  <si>
    <t>321
322
335</t>
  </si>
  <si>
    <t>320
331</t>
  </si>
  <si>
    <t>314DH
327
330</t>
  </si>
  <si>
    <t>921
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</si>
</sst>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CCFF"/>
      </patternFill>
    </fill>
    <fill>
      <patternFill patternType="solid">
        <fgColor rgb="FFDDDDDD"/>
      </patternFill>
    </fill>
    <fill>
      <patternFill patternType="solid">
        <fgColor rgb="FFFFEE99"/>
      </patternFill>
    </fill>
    <fill>
      <patternFill patternType="solid">
        <fgColor rgb="FF99FF99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shrinkToFit="1"/>
    </xf>
    <xf numFmtId="0" fontId="0" fillId="0" borderId="1" xfId="0" applyBorder="1" applyAlignment="1">
      <alignment horizontal="left" vertical="top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5" borderId="0" xfId="0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"/>
  <sheetViews>
    <sheetView tabSelected="1" workbookViewId="0">
      <selection activeCell="A30" sqref="A30:AE2097"/>
    </sheetView>
  </sheetViews>
  <sheetFormatPr baseColWidth="10" defaultColWidth="8.83203125" defaultRowHeight="14"/>
  <sheetData>
    <row r="1" spans="1:3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s="1"/>
      <c r="Y1" s="1"/>
      <c r="Z1" s="1"/>
      <c r="AA1" s="1"/>
      <c r="AB1" s="1"/>
      <c r="AC1" s="1"/>
      <c r="AD1" s="1"/>
      <c r="AE1" s="1" t="s">
        <v>23</v>
      </c>
    </row>
    <row r="2" spans="1:31" ht="15">
      <c r="A2" s="4" t="s">
        <v>24</v>
      </c>
      <c r="B2" s="5" t="s">
        <v>25</v>
      </c>
      <c r="C2" s="5" t="s">
        <v>20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 t="s">
        <v>37</v>
      </c>
      <c r="P2" s="5" t="s">
        <v>38</v>
      </c>
      <c r="Q2" s="5" t="s">
        <v>39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5" t="s">
        <v>45</v>
      </c>
      <c r="X2" s="5" t="s">
        <v>46</v>
      </c>
      <c r="Y2" s="5" t="s">
        <v>47</v>
      </c>
      <c r="Z2" s="5" t="s">
        <v>48</v>
      </c>
      <c r="AA2" s="5" t="s">
        <v>49</v>
      </c>
      <c r="AB2" s="5" t="s">
        <v>50</v>
      </c>
      <c r="AC2" s="5" t="s">
        <v>51</v>
      </c>
      <c r="AD2" s="5" t="s">
        <v>52</v>
      </c>
      <c r="AE2" s="5" t="s">
        <v>53</v>
      </c>
    </row>
    <row r="3" spans="1:31" ht="60">
      <c r="A3" s="6" t="s">
        <v>54</v>
      </c>
      <c r="B3" s="6" t="s">
        <v>55</v>
      </c>
      <c r="C3" s="6" t="s">
        <v>56</v>
      </c>
      <c r="D3" s="6" t="s">
        <v>56</v>
      </c>
      <c r="E3" s="6" t="s">
        <v>57</v>
      </c>
      <c r="F3" s="6" t="s">
        <v>58</v>
      </c>
      <c r="G3" s="6" t="s">
        <v>59</v>
      </c>
      <c r="H3" s="6" t="s">
        <v>60</v>
      </c>
      <c r="I3" s="6" t="s">
        <v>60</v>
      </c>
      <c r="J3" s="6" t="s">
        <v>61</v>
      </c>
      <c r="K3" s="6" t="s">
        <v>62</v>
      </c>
      <c r="L3" s="6" t="s">
        <v>60</v>
      </c>
      <c r="M3" s="6" t="s">
        <v>63</v>
      </c>
      <c r="N3" s="6" t="s">
        <v>55</v>
      </c>
      <c r="O3" s="6" t="s">
        <v>60</v>
      </c>
      <c r="P3" s="6" t="s">
        <v>55</v>
      </c>
      <c r="Q3" s="6" t="s">
        <v>64</v>
      </c>
      <c r="R3" s="6" t="s">
        <v>64</v>
      </c>
      <c r="S3" s="6" t="s">
        <v>64</v>
      </c>
      <c r="T3" s="6" t="s">
        <v>58</v>
      </c>
      <c r="U3" s="6" t="s">
        <v>60</v>
      </c>
      <c r="V3" s="6" t="s">
        <v>60</v>
      </c>
      <c r="W3" s="6" t="s">
        <v>65</v>
      </c>
      <c r="X3" s="6" t="s">
        <v>66</v>
      </c>
      <c r="Y3" s="6" t="s">
        <v>67</v>
      </c>
      <c r="Z3" s="6" t="s">
        <v>67</v>
      </c>
      <c r="AA3" s="6" t="s">
        <v>67</v>
      </c>
      <c r="AB3" s="6" t="s">
        <v>55</v>
      </c>
      <c r="AC3" s="6" t="s">
        <v>60</v>
      </c>
      <c r="AD3" s="6" t="s">
        <v>68</v>
      </c>
      <c r="AE3" s="6" t="s">
        <v>69</v>
      </c>
    </row>
    <row r="4" spans="1:31" ht="15">
      <c r="A4" s="6" t="str">
        <f>HYPERLINK("#A768", "清宮")</f>
        <v>清宮</v>
      </c>
      <c r="B4" s="6"/>
      <c r="C4" s="6"/>
      <c r="D4" s="6"/>
      <c r="E4" s="6"/>
      <c r="F4" s="6"/>
      <c r="G4" s="6"/>
      <c r="H4" s="6"/>
      <c r="I4" s="6"/>
      <c r="J4" s="6" t="str">
        <f>HYPERLINK("#A732", "永樂TO")</f>
        <v>永樂TO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15">
      <c r="A5" s="6" t="str">
        <f>HYPERLINK("#A823", "近藤EI")</f>
        <v>近藤EI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15">
      <c r="A6" s="1" t="s">
        <v>70</v>
      </c>
      <c r="B6" s="1" t="s">
        <v>71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72</v>
      </c>
      <c r="J6" s="1" t="s">
        <v>9</v>
      </c>
      <c r="K6" s="1" t="s">
        <v>73</v>
      </c>
      <c r="L6" s="1" t="s">
        <v>11</v>
      </c>
      <c r="M6" s="1" t="s">
        <v>12</v>
      </c>
      <c r="N6" s="1" t="s">
        <v>13</v>
      </c>
      <c r="O6" s="1" t="s">
        <v>74</v>
      </c>
      <c r="P6" s="1" t="s">
        <v>15</v>
      </c>
      <c r="Q6" s="1" t="s">
        <v>75</v>
      </c>
      <c r="R6" s="1" t="s">
        <v>17</v>
      </c>
      <c r="S6" s="2" t="s">
        <v>76</v>
      </c>
      <c r="T6" s="1" t="s">
        <v>19</v>
      </c>
      <c r="U6" s="1" t="s">
        <v>26</v>
      </c>
      <c r="V6" s="3" t="s">
        <v>21</v>
      </c>
      <c r="W6" s="3" t="s">
        <v>77</v>
      </c>
      <c r="X6" s="1"/>
      <c r="Y6" s="1"/>
      <c r="Z6" s="1"/>
      <c r="AA6" s="1"/>
      <c r="AB6" s="1"/>
      <c r="AC6" s="1"/>
      <c r="AD6" s="1"/>
      <c r="AE6" s="1" t="s">
        <v>78</v>
      </c>
    </row>
    <row r="7" spans="1:31" ht="15">
      <c r="A7" s="5" t="s">
        <v>24</v>
      </c>
      <c r="B7" s="5" t="s">
        <v>25</v>
      </c>
      <c r="C7" s="5" t="s">
        <v>20</v>
      </c>
      <c r="D7" s="5" t="s">
        <v>26</v>
      </c>
      <c r="E7" s="5" t="s">
        <v>27</v>
      </c>
      <c r="F7" s="5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38</v>
      </c>
      <c r="Q7" s="5" t="s">
        <v>39</v>
      </c>
      <c r="R7" s="5" t="s">
        <v>40</v>
      </c>
      <c r="S7" s="5" t="s">
        <v>41</v>
      </c>
      <c r="T7" s="5" t="s">
        <v>42</v>
      </c>
      <c r="U7" s="5" t="s">
        <v>43</v>
      </c>
      <c r="V7" s="5" t="s">
        <v>44</v>
      </c>
      <c r="W7" s="5" t="s">
        <v>45</v>
      </c>
      <c r="X7" s="5" t="s">
        <v>46</v>
      </c>
      <c r="Y7" s="5" t="s">
        <v>47</v>
      </c>
      <c r="Z7" s="5" t="s">
        <v>48</v>
      </c>
      <c r="AA7" s="5" t="s">
        <v>49</v>
      </c>
      <c r="AB7" s="5" t="s">
        <v>50</v>
      </c>
      <c r="AC7" s="5" t="s">
        <v>51</v>
      </c>
      <c r="AD7" s="5" t="s">
        <v>52</v>
      </c>
      <c r="AE7" s="5" t="s">
        <v>53</v>
      </c>
    </row>
    <row r="8" spans="1:31" ht="45">
      <c r="A8" s="6" t="s">
        <v>60</v>
      </c>
      <c r="B8" s="6" t="s">
        <v>60</v>
      </c>
      <c r="C8" s="6" t="s">
        <v>79</v>
      </c>
      <c r="D8" s="6" t="s">
        <v>80</v>
      </c>
      <c r="E8" s="6" t="s">
        <v>81</v>
      </c>
      <c r="F8" s="6" t="s">
        <v>55</v>
      </c>
      <c r="G8" s="6" t="s">
        <v>59</v>
      </c>
      <c r="H8" s="6" t="s">
        <v>60</v>
      </c>
      <c r="I8" s="6" t="s">
        <v>82</v>
      </c>
      <c r="J8" s="6" t="s">
        <v>60</v>
      </c>
      <c r="K8" s="6" t="s">
        <v>62</v>
      </c>
      <c r="L8" s="6" t="s">
        <v>60</v>
      </c>
      <c r="M8" s="6" t="s">
        <v>83</v>
      </c>
      <c r="N8" s="6" t="s">
        <v>84</v>
      </c>
      <c r="O8" s="6" t="s">
        <v>65</v>
      </c>
      <c r="P8" s="6" t="s">
        <v>69</v>
      </c>
      <c r="Q8" s="6" t="s">
        <v>60</v>
      </c>
      <c r="R8" s="6" t="s">
        <v>85</v>
      </c>
      <c r="S8" s="6" t="s">
        <v>60</v>
      </c>
      <c r="T8" s="6" t="s">
        <v>86</v>
      </c>
      <c r="U8" s="6" t="s">
        <v>87</v>
      </c>
      <c r="V8" s="6" t="s">
        <v>88</v>
      </c>
      <c r="W8" s="6" t="s">
        <v>60</v>
      </c>
      <c r="X8" s="6" t="s">
        <v>60</v>
      </c>
      <c r="Y8" s="6" t="s">
        <v>61</v>
      </c>
      <c r="Z8" s="6" t="s">
        <v>60</v>
      </c>
      <c r="AA8" s="6" t="s">
        <v>60</v>
      </c>
      <c r="AB8" s="6" t="s">
        <v>65</v>
      </c>
      <c r="AC8" s="6" t="s">
        <v>89</v>
      </c>
      <c r="AD8" s="6" t="s">
        <v>90</v>
      </c>
      <c r="AE8" s="6" t="s">
        <v>69</v>
      </c>
    </row>
    <row r="9" spans="1:31" ht="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 t="str">
        <f>HYPERLINK("#A622", "小頭YA")</f>
        <v>小頭YA</v>
      </c>
      <c r="N9" s="7" t="str">
        <f>HYPERLINK("#A622", "小頭YA")</f>
        <v>小頭YA</v>
      </c>
      <c r="O9" s="6"/>
      <c r="P9" s="6"/>
      <c r="Q9" s="6"/>
      <c r="R9" s="6"/>
      <c r="S9" s="6"/>
      <c r="T9" s="7" t="str">
        <f>HYPERLINK("#A661", "宮島YU")</f>
        <v>宮島YU</v>
      </c>
      <c r="U9" s="7" t="str">
        <f>HYPERLINK("#A661", "宮島YU")</f>
        <v>宮島YU</v>
      </c>
      <c r="V9" s="7" t="str">
        <f>HYPERLINK("#A661", "宮島YU")</f>
        <v>宮島YU</v>
      </c>
      <c r="W9" s="6"/>
      <c r="X9" s="6"/>
      <c r="Y9" s="7" t="str">
        <f>HYPERLINK("#A628", "廣田HA")</f>
        <v>廣田HA</v>
      </c>
      <c r="Z9" s="6"/>
      <c r="AA9" s="6"/>
      <c r="AB9" s="6"/>
      <c r="AC9" s="6"/>
      <c r="AD9" s="6"/>
      <c r="AE9" s="6"/>
    </row>
    <row r="10" spans="1:31" ht="15">
      <c r="A10" s="1" t="s">
        <v>91</v>
      </c>
      <c r="B10" s="1" t="s">
        <v>92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93</v>
      </c>
      <c r="J10" s="1" t="s">
        <v>9</v>
      </c>
      <c r="K10" s="1" t="s">
        <v>94</v>
      </c>
      <c r="L10" s="1" t="s">
        <v>11</v>
      </c>
      <c r="M10" s="1" t="s">
        <v>12</v>
      </c>
      <c r="N10" s="1" t="s">
        <v>13</v>
      </c>
      <c r="O10" s="1" t="s">
        <v>95</v>
      </c>
      <c r="P10" s="1" t="s">
        <v>15</v>
      </c>
      <c r="Q10" s="1" t="s">
        <v>96</v>
      </c>
      <c r="R10" s="1" t="s">
        <v>17</v>
      </c>
      <c r="S10" s="2" t="s">
        <v>97</v>
      </c>
      <c r="T10" s="1" t="s">
        <v>19</v>
      </c>
      <c r="U10" s="1" t="s">
        <v>20</v>
      </c>
      <c r="V10" s="3" t="s">
        <v>21</v>
      </c>
      <c r="W10" s="3" t="s">
        <v>98</v>
      </c>
      <c r="X10" s="1"/>
      <c r="Y10" s="1"/>
      <c r="Z10" s="1"/>
      <c r="AA10" s="1"/>
      <c r="AB10" s="1"/>
      <c r="AC10" s="1"/>
      <c r="AD10" s="1"/>
      <c r="AE10" s="1" t="s">
        <v>99</v>
      </c>
    </row>
    <row r="11" spans="1:31" ht="15">
      <c r="A11" s="5" t="s">
        <v>24</v>
      </c>
      <c r="B11" s="5" t="s">
        <v>25</v>
      </c>
      <c r="C11" s="5" t="s">
        <v>20</v>
      </c>
      <c r="D11" s="5" t="s">
        <v>26</v>
      </c>
      <c r="E11" s="5" t="s">
        <v>27</v>
      </c>
      <c r="F11" s="4" t="s">
        <v>28</v>
      </c>
      <c r="G11" s="5" t="s">
        <v>29</v>
      </c>
      <c r="H11" s="4" t="s">
        <v>30</v>
      </c>
      <c r="I11" s="5" t="s">
        <v>31</v>
      </c>
      <c r="J11" s="5" t="s">
        <v>32</v>
      </c>
      <c r="K11" s="5" t="s">
        <v>33</v>
      </c>
      <c r="L11" s="5" t="s">
        <v>34</v>
      </c>
      <c r="M11" s="5" t="s">
        <v>35</v>
      </c>
      <c r="N11" s="5" t="s">
        <v>36</v>
      </c>
      <c r="O11" s="5" t="s">
        <v>37</v>
      </c>
      <c r="P11" s="5" t="s">
        <v>38</v>
      </c>
      <c r="Q11" s="5" t="s">
        <v>39</v>
      </c>
      <c r="R11" s="5" t="s">
        <v>40</v>
      </c>
      <c r="S11" s="5" t="s">
        <v>41</v>
      </c>
      <c r="T11" s="5" t="s">
        <v>42</v>
      </c>
      <c r="U11" s="5" t="s">
        <v>43</v>
      </c>
      <c r="V11" s="5" t="s">
        <v>44</v>
      </c>
      <c r="W11" s="5" t="s">
        <v>45</v>
      </c>
      <c r="X11" s="5" t="s">
        <v>46</v>
      </c>
      <c r="Y11" s="5" t="s">
        <v>47</v>
      </c>
      <c r="Z11" s="5" t="s">
        <v>48</v>
      </c>
      <c r="AA11" s="5" t="s">
        <v>49</v>
      </c>
      <c r="AB11" s="5" t="s">
        <v>50</v>
      </c>
      <c r="AC11" s="5" t="s">
        <v>51</v>
      </c>
      <c r="AD11" s="5" t="s">
        <v>52</v>
      </c>
      <c r="AE11" s="4" t="s">
        <v>53</v>
      </c>
    </row>
    <row r="12" spans="1:31" ht="75">
      <c r="A12" s="6" t="s">
        <v>100</v>
      </c>
      <c r="B12" s="6" t="s">
        <v>101</v>
      </c>
      <c r="C12" s="6" t="s">
        <v>63</v>
      </c>
      <c r="D12" s="6" t="s">
        <v>63</v>
      </c>
      <c r="E12" s="6" t="s">
        <v>102</v>
      </c>
      <c r="F12" s="6" t="s">
        <v>103</v>
      </c>
      <c r="G12" s="6" t="s">
        <v>59</v>
      </c>
      <c r="H12" s="6" t="s">
        <v>104</v>
      </c>
      <c r="I12" s="6" t="s">
        <v>60</v>
      </c>
      <c r="J12" s="6" t="s">
        <v>60</v>
      </c>
      <c r="K12" s="6" t="s">
        <v>62</v>
      </c>
      <c r="L12" s="6" t="s">
        <v>60</v>
      </c>
      <c r="M12" s="6" t="s">
        <v>60</v>
      </c>
      <c r="N12" s="6" t="s">
        <v>55</v>
      </c>
      <c r="O12" s="6" t="s">
        <v>55</v>
      </c>
      <c r="P12" s="6" t="s">
        <v>69</v>
      </c>
      <c r="Q12" s="6" t="s">
        <v>65</v>
      </c>
      <c r="R12" s="6" t="s">
        <v>85</v>
      </c>
      <c r="S12" s="6" t="s">
        <v>63</v>
      </c>
      <c r="T12" s="6" t="s">
        <v>105</v>
      </c>
      <c r="U12" s="6" t="s">
        <v>55</v>
      </c>
      <c r="V12" s="6" t="s">
        <v>106</v>
      </c>
      <c r="W12" s="6" t="s">
        <v>89</v>
      </c>
      <c r="X12" s="6" t="s">
        <v>107</v>
      </c>
      <c r="Y12" s="6" t="s">
        <v>100</v>
      </c>
      <c r="Z12" s="6" t="s">
        <v>100</v>
      </c>
      <c r="AA12" s="6" t="s">
        <v>101</v>
      </c>
      <c r="AB12" s="6" t="s">
        <v>102</v>
      </c>
      <c r="AC12" s="6" t="s">
        <v>56</v>
      </c>
      <c r="AD12" s="6" t="s">
        <v>56</v>
      </c>
      <c r="AE12" s="6" t="s">
        <v>108</v>
      </c>
    </row>
    <row r="13" spans="1:31" ht="15">
      <c r="A13" s="6"/>
      <c r="B13" s="6" t="str">
        <f>HYPERLINK("#A530", "内本MA")</f>
        <v>内本MA</v>
      </c>
      <c r="C13" s="6"/>
      <c r="D13" s="6"/>
      <c r="E13" s="6"/>
      <c r="F13" s="6" t="str">
        <f>HYPERLINK("#A1100", "新城")</f>
        <v>新城</v>
      </c>
      <c r="G13" s="6"/>
      <c r="H13" s="6" t="str">
        <f>HYPERLINK("#A140", "夫馬KO")</f>
        <v>夫馬KO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 t="str">
        <f>HYPERLINK("#A1526", "布施KA")</f>
        <v>布施KA</v>
      </c>
      <c r="Y13" s="6"/>
      <c r="Z13" s="6"/>
      <c r="AA13" s="6" t="str">
        <f>HYPERLINK("#A1526", "布施KA")</f>
        <v>布施KA</v>
      </c>
      <c r="AB13" s="6"/>
      <c r="AC13" s="6"/>
      <c r="AD13" s="6"/>
      <c r="AE13" s="7" t="str">
        <f>HYPERLINK("#A1566", "松原KE")</f>
        <v>松原KE</v>
      </c>
    </row>
    <row r="14" spans="1:31" ht="15">
      <c r="A14" s="6"/>
      <c r="B14" s="6" t="str">
        <f>HYPERLINK("#A1100", "新城")</f>
        <v>新城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 t="str">
        <f>HYPERLINK("#A59", "高尾MA")</f>
        <v>高尾MA</v>
      </c>
      <c r="Y14" s="6"/>
      <c r="Z14" s="6"/>
      <c r="AA14" s="6" t="str">
        <f>HYPERLINK("#A59", "高尾MA")</f>
        <v>高尾MA</v>
      </c>
      <c r="AB14" s="6"/>
      <c r="AC14" s="6"/>
      <c r="AD14" s="6"/>
      <c r="AE14" s="6"/>
    </row>
    <row r="15" spans="1:31" ht="15">
      <c r="A15" s="1" t="s">
        <v>109</v>
      </c>
      <c r="B15" s="1" t="s">
        <v>110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111</v>
      </c>
      <c r="J15" s="1" t="s">
        <v>9</v>
      </c>
      <c r="K15" s="1" t="s">
        <v>73</v>
      </c>
      <c r="L15" s="1" t="s">
        <v>11</v>
      </c>
      <c r="M15" s="1" t="s">
        <v>12</v>
      </c>
      <c r="N15" s="1" t="s">
        <v>13</v>
      </c>
      <c r="O15" s="1" t="s">
        <v>112</v>
      </c>
      <c r="P15" s="1" t="s">
        <v>15</v>
      </c>
      <c r="Q15" s="1" t="s">
        <v>113</v>
      </c>
      <c r="R15" s="1" t="s">
        <v>17</v>
      </c>
      <c r="S15" s="2" t="s">
        <v>114</v>
      </c>
      <c r="T15" s="1" t="s">
        <v>19</v>
      </c>
      <c r="U15" s="1" t="s">
        <v>33</v>
      </c>
      <c r="V15" s="3" t="s">
        <v>21</v>
      </c>
      <c r="W15" s="3" t="s">
        <v>115</v>
      </c>
      <c r="X15" s="1"/>
      <c r="Y15" s="1"/>
      <c r="Z15" s="1"/>
      <c r="AA15" s="1"/>
      <c r="AB15" s="1"/>
      <c r="AC15" s="1"/>
      <c r="AD15" s="1"/>
      <c r="AE15" s="1" t="s">
        <v>116</v>
      </c>
    </row>
    <row r="16" spans="1:31" ht="15">
      <c r="A16" s="5" t="s">
        <v>24</v>
      </c>
      <c r="B16" s="5" t="s">
        <v>25</v>
      </c>
      <c r="C16" s="5" t="s">
        <v>20</v>
      </c>
      <c r="D16" s="5" t="s">
        <v>26</v>
      </c>
      <c r="E16" s="5" t="s">
        <v>27</v>
      </c>
      <c r="F16" s="5" t="s">
        <v>28</v>
      </c>
      <c r="G16" s="5" t="s">
        <v>29</v>
      </c>
      <c r="H16" s="5" t="s">
        <v>30</v>
      </c>
      <c r="I16" s="5" t="s">
        <v>31</v>
      </c>
      <c r="J16" s="5" t="s">
        <v>32</v>
      </c>
      <c r="K16" s="5" t="s">
        <v>33</v>
      </c>
      <c r="L16" s="5" t="s">
        <v>34</v>
      </c>
      <c r="M16" s="5" t="s">
        <v>35</v>
      </c>
      <c r="N16" s="5" t="s">
        <v>36</v>
      </c>
      <c r="O16" s="8" t="s">
        <v>37</v>
      </c>
      <c r="P16" s="5" t="s">
        <v>38</v>
      </c>
      <c r="Q16" s="5" t="s">
        <v>39</v>
      </c>
      <c r="R16" s="4" t="s">
        <v>40</v>
      </c>
      <c r="S16" s="5" t="s">
        <v>41</v>
      </c>
      <c r="T16" s="5" t="s">
        <v>42</v>
      </c>
      <c r="U16" s="5" t="s">
        <v>43</v>
      </c>
      <c r="V16" s="5" t="s">
        <v>44</v>
      </c>
      <c r="W16" s="5" t="s">
        <v>45</v>
      </c>
      <c r="X16" s="5" t="s">
        <v>46</v>
      </c>
      <c r="Y16" s="5" t="s">
        <v>47</v>
      </c>
      <c r="Z16" s="4" t="s">
        <v>48</v>
      </c>
      <c r="AA16" s="5" t="s">
        <v>49</v>
      </c>
      <c r="AB16" s="5" t="s">
        <v>50</v>
      </c>
      <c r="AC16" s="5" t="s">
        <v>51</v>
      </c>
      <c r="AD16" s="5" t="s">
        <v>52</v>
      </c>
      <c r="AE16" s="5" t="s">
        <v>53</v>
      </c>
    </row>
    <row r="17" spans="1:31" ht="60">
      <c r="A17" s="6" t="s">
        <v>37</v>
      </c>
      <c r="B17" s="6" t="s">
        <v>60</v>
      </c>
      <c r="C17" s="6" t="s">
        <v>63</v>
      </c>
      <c r="D17" s="6" t="s">
        <v>58</v>
      </c>
      <c r="E17" s="6" t="s">
        <v>34</v>
      </c>
      <c r="F17" s="6" t="s">
        <v>100</v>
      </c>
      <c r="G17" s="6" t="s">
        <v>100</v>
      </c>
      <c r="H17" s="6" t="s">
        <v>33</v>
      </c>
      <c r="I17" s="6" t="s">
        <v>102</v>
      </c>
      <c r="J17" s="6" t="s">
        <v>102</v>
      </c>
      <c r="K17" s="6" t="s">
        <v>62</v>
      </c>
      <c r="L17" s="6" t="s">
        <v>60</v>
      </c>
      <c r="M17" s="6" t="s">
        <v>57</v>
      </c>
      <c r="N17" s="6" t="s">
        <v>55</v>
      </c>
      <c r="O17" s="6" t="s">
        <v>117</v>
      </c>
      <c r="P17" s="6" t="s">
        <v>57</v>
      </c>
      <c r="Q17" s="6" t="s">
        <v>60</v>
      </c>
      <c r="R17" s="6" t="s">
        <v>118</v>
      </c>
      <c r="S17" s="6" t="s">
        <v>87</v>
      </c>
      <c r="T17" s="6" t="s">
        <v>88</v>
      </c>
      <c r="U17" s="6" t="s">
        <v>60</v>
      </c>
      <c r="V17" s="6" t="s">
        <v>60</v>
      </c>
      <c r="W17" s="6" t="s">
        <v>69</v>
      </c>
      <c r="X17" s="6" t="s">
        <v>57</v>
      </c>
      <c r="Y17" s="6" t="s">
        <v>57</v>
      </c>
      <c r="Z17" s="6" t="s">
        <v>119</v>
      </c>
      <c r="AA17" s="6" t="s">
        <v>60</v>
      </c>
      <c r="AB17" s="6" t="s">
        <v>65</v>
      </c>
      <c r="AC17" s="6" t="s">
        <v>60</v>
      </c>
      <c r="AD17" s="6" t="s">
        <v>89</v>
      </c>
      <c r="AE17" s="6" t="s">
        <v>83</v>
      </c>
    </row>
    <row r="18" spans="1:31" ht="15">
      <c r="A18" s="6" t="str">
        <f>HYPERLINK("#A80", "下田HI")</f>
        <v>下田HI</v>
      </c>
      <c r="B18" s="6"/>
      <c r="C18" s="6"/>
      <c r="D18" s="6"/>
      <c r="E18" s="6" t="str">
        <f>HYPERLINK("#A1620", "藤井TA")</f>
        <v>藤井TA</v>
      </c>
      <c r="F18" s="6"/>
      <c r="G18" s="6"/>
      <c r="H18" s="6" t="str">
        <f>HYPERLINK("#A1620", "藤井TA")</f>
        <v>藤井TA</v>
      </c>
      <c r="I18" s="6"/>
      <c r="J18" s="6"/>
      <c r="K18" s="6"/>
      <c r="L18" s="6"/>
      <c r="M18" s="6"/>
      <c r="N18" s="6"/>
      <c r="O18" s="6"/>
      <c r="P18" s="6"/>
      <c r="Q18" s="6"/>
      <c r="R18" s="7" t="str">
        <f>HYPERLINK("#A715", "播田RY")</f>
        <v>播田RY</v>
      </c>
      <c r="S18" s="7" t="str">
        <f>HYPERLINK("#A715", "播田RY")</f>
        <v>播田RY</v>
      </c>
      <c r="T18" s="7" t="str">
        <f>HYPERLINK("#A715", "播田RY")</f>
        <v>播田RY</v>
      </c>
      <c r="U18" s="6"/>
      <c r="V18" s="6"/>
      <c r="W18" s="6"/>
      <c r="X18" s="6"/>
      <c r="Y18" s="6"/>
      <c r="Z18" s="7" t="str">
        <f>HYPERLINK("#A703", "黒岩SH")</f>
        <v>黒岩SH</v>
      </c>
      <c r="AA18" s="6"/>
      <c r="AB18" s="6"/>
      <c r="AC18" s="6"/>
      <c r="AD18" s="6"/>
      <c r="AE18" s="6" t="str">
        <f>HYPERLINK("#A642", "小林MA")</f>
        <v>小林MA</v>
      </c>
    </row>
    <row r="19" spans="1:31" ht="15">
      <c r="A19" s="7" t="str">
        <f>HYPERLINK("#A110", "狩野MO")</f>
        <v>狩野MO</v>
      </c>
      <c r="B19" s="6"/>
      <c r="C19" s="6"/>
      <c r="D19" s="6"/>
      <c r="E19" s="6" t="str">
        <f>HYPERLINK("#A135", "三浦TA")</f>
        <v>三浦TA</v>
      </c>
      <c r="F19" s="6"/>
      <c r="G19" s="6"/>
      <c r="H19" s="6" t="str">
        <f>HYPERLINK("#A135", "三浦TA")</f>
        <v>三浦TA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15">
      <c r="A20" s="1" t="s">
        <v>120</v>
      </c>
      <c r="B20" s="1" t="s">
        <v>121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122</v>
      </c>
      <c r="J20" s="1" t="s">
        <v>9</v>
      </c>
      <c r="K20" s="1" t="s">
        <v>73</v>
      </c>
      <c r="L20" s="1" t="s">
        <v>11</v>
      </c>
      <c r="M20" s="1" t="s">
        <v>12</v>
      </c>
      <c r="N20" s="1" t="s">
        <v>13</v>
      </c>
      <c r="O20" s="1" t="s">
        <v>123</v>
      </c>
      <c r="P20" s="1" t="s">
        <v>15</v>
      </c>
      <c r="Q20" s="1" t="s">
        <v>124</v>
      </c>
      <c r="R20" s="1" t="s">
        <v>17</v>
      </c>
      <c r="S20" s="2" t="s">
        <v>125</v>
      </c>
      <c r="T20" s="1" t="s">
        <v>19</v>
      </c>
      <c r="U20" s="1" t="s">
        <v>31</v>
      </c>
      <c r="V20" s="3" t="s">
        <v>21</v>
      </c>
      <c r="W20" s="3" t="s">
        <v>126</v>
      </c>
      <c r="X20" s="1"/>
      <c r="Y20" s="1"/>
      <c r="Z20" s="1"/>
      <c r="AA20" s="1"/>
      <c r="AB20" s="1"/>
      <c r="AC20" s="1"/>
      <c r="AD20" s="1"/>
      <c r="AE20" s="1" t="s">
        <v>127</v>
      </c>
    </row>
    <row r="21" spans="1:31" ht="15">
      <c r="A21" s="5" t="s">
        <v>24</v>
      </c>
      <c r="B21" s="5" t="s">
        <v>25</v>
      </c>
      <c r="C21" s="5" t="s">
        <v>20</v>
      </c>
      <c r="D21" s="5" t="s">
        <v>26</v>
      </c>
      <c r="E21" s="5" t="s">
        <v>27</v>
      </c>
      <c r="F21" s="5" t="s">
        <v>28</v>
      </c>
      <c r="G21" s="5" t="s">
        <v>29</v>
      </c>
      <c r="H21" s="5" t="s">
        <v>30</v>
      </c>
      <c r="I21" s="5" t="s">
        <v>31</v>
      </c>
      <c r="J21" s="5" t="s">
        <v>32</v>
      </c>
      <c r="K21" s="5" t="s">
        <v>33</v>
      </c>
      <c r="L21" s="5" t="s">
        <v>34</v>
      </c>
      <c r="M21" s="5" t="s">
        <v>35</v>
      </c>
      <c r="N21" s="5" t="s">
        <v>36</v>
      </c>
      <c r="O21" s="8" t="s">
        <v>37</v>
      </c>
      <c r="P21" s="5" t="s">
        <v>38</v>
      </c>
      <c r="Q21" s="5" t="s">
        <v>39</v>
      </c>
      <c r="R21" s="5" t="s">
        <v>40</v>
      </c>
      <c r="S21" s="5" t="s">
        <v>41</v>
      </c>
      <c r="T21" s="5" t="s">
        <v>42</v>
      </c>
      <c r="U21" s="5" t="s">
        <v>43</v>
      </c>
      <c r="V21" s="5" t="s">
        <v>44</v>
      </c>
      <c r="W21" s="5" t="s">
        <v>45</v>
      </c>
      <c r="X21" s="4" t="s">
        <v>46</v>
      </c>
      <c r="Y21" s="5" t="s">
        <v>47</v>
      </c>
      <c r="Z21" s="5" t="s">
        <v>48</v>
      </c>
      <c r="AA21" s="5" t="s">
        <v>49</v>
      </c>
      <c r="AB21" s="5" t="s">
        <v>50</v>
      </c>
      <c r="AC21" s="5" t="s">
        <v>51</v>
      </c>
      <c r="AD21" s="4" t="s">
        <v>52</v>
      </c>
      <c r="AE21" s="4" t="s">
        <v>53</v>
      </c>
    </row>
    <row r="22" spans="1:31" ht="75">
      <c r="A22" s="6" t="s">
        <v>60</v>
      </c>
      <c r="B22" s="6" t="s">
        <v>68</v>
      </c>
      <c r="C22" s="6" t="s">
        <v>128</v>
      </c>
      <c r="D22" s="6" t="s">
        <v>100</v>
      </c>
      <c r="E22" s="6" t="s">
        <v>100</v>
      </c>
      <c r="F22" s="6" t="s">
        <v>100</v>
      </c>
      <c r="G22" s="6" t="s">
        <v>129</v>
      </c>
      <c r="H22" s="6" t="s">
        <v>102</v>
      </c>
      <c r="I22" s="6" t="s">
        <v>102</v>
      </c>
      <c r="J22" s="6" t="s">
        <v>102</v>
      </c>
      <c r="K22" s="6" t="s">
        <v>62</v>
      </c>
      <c r="L22" s="6" t="s">
        <v>60</v>
      </c>
      <c r="M22" s="6" t="s">
        <v>60</v>
      </c>
      <c r="N22" s="6" t="s">
        <v>55</v>
      </c>
      <c r="O22" s="6" t="s">
        <v>130</v>
      </c>
      <c r="P22" s="6" t="s">
        <v>57</v>
      </c>
      <c r="Q22" s="6" t="s">
        <v>131</v>
      </c>
      <c r="R22" s="6" t="s">
        <v>56</v>
      </c>
      <c r="S22" s="6" t="s">
        <v>56</v>
      </c>
      <c r="T22" s="6" t="s">
        <v>57</v>
      </c>
      <c r="U22" s="6" t="s">
        <v>60</v>
      </c>
      <c r="V22" s="6" t="s">
        <v>55</v>
      </c>
      <c r="W22" s="6" t="s">
        <v>69</v>
      </c>
      <c r="X22" s="6" t="s">
        <v>132</v>
      </c>
      <c r="Y22" s="6" t="s">
        <v>133</v>
      </c>
      <c r="Z22" s="6" t="s">
        <v>134</v>
      </c>
      <c r="AA22" s="6" t="s">
        <v>60</v>
      </c>
      <c r="AB22" s="6" t="s">
        <v>58</v>
      </c>
      <c r="AC22" s="6" t="s">
        <v>58</v>
      </c>
      <c r="AD22" s="6" t="s">
        <v>135</v>
      </c>
      <c r="AE22" s="6" t="s">
        <v>136</v>
      </c>
    </row>
    <row r="23" spans="1:31" ht="15">
      <c r="A23" s="6"/>
      <c r="B23" s="6"/>
      <c r="C23" s="6" t="str">
        <f>HYPERLINK("#A1399", "古島SH")</f>
        <v>古島SH</v>
      </c>
      <c r="D23" s="6"/>
      <c r="E23" s="6"/>
      <c r="F23" s="6"/>
      <c r="G23" s="6" t="str">
        <f>HYPERLINK("#A1399", "古島SH")</f>
        <v>古島SH</v>
      </c>
      <c r="H23" s="6"/>
      <c r="I23" s="6"/>
      <c r="J23" s="6"/>
      <c r="K23" s="6"/>
      <c r="L23" s="6"/>
      <c r="M23" s="6"/>
      <c r="N23" s="6"/>
      <c r="O23" s="6"/>
      <c r="P23" s="6"/>
      <c r="Q23" s="7" t="str">
        <f>HYPERLINK("#A790", "安達YD")</f>
        <v>安達YD</v>
      </c>
      <c r="R23" s="6"/>
      <c r="S23" s="6"/>
      <c r="T23" s="6"/>
      <c r="U23" s="6"/>
      <c r="V23" s="6"/>
      <c r="W23" s="6"/>
      <c r="X23" s="7" t="str">
        <f>HYPERLINK("#A796", "増山SH")</f>
        <v>増山SH</v>
      </c>
      <c r="Y23" s="7" t="str">
        <f>HYPERLINK("#A796", "増山SH")</f>
        <v>増山SH</v>
      </c>
      <c r="Z23" s="7" t="str">
        <f>HYPERLINK("#A796", "増山SH")</f>
        <v>増山SH</v>
      </c>
      <c r="AA23" s="6"/>
      <c r="AB23" s="6"/>
      <c r="AC23" s="6"/>
      <c r="AD23" s="7" t="str">
        <f>HYPERLINK("#A801", "大谷RI")</f>
        <v>大谷RI</v>
      </c>
      <c r="AE23" s="7" t="str">
        <f>HYPERLINK("#A801", "大谷RI")</f>
        <v>大谷RI</v>
      </c>
    </row>
    <row r="24" spans="1:31" ht="15">
      <c r="A24" s="6"/>
      <c r="B24" s="6"/>
      <c r="C24" s="6" t="str">
        <f>HYPERLINK("#A1590", "栗田KO")</f>
        <v>栗田KO</v>
      </c>
      <c r="D24" s="6"/>
      <c r="E24" s="6"/>
      <c r="F24" s="6"/>
      <c r="G24" s="6" t="str">
        <f>HYPERLINK("#A1590", "栗田KO")</f>
        <v>栗田KO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15">
      <c r="A25" s="1" t="s">
        <v>137</v>
      </c>
      <c r="B25" s="1" t="s">
        <v>138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139</v>
      </c>
      <c r="J25" s="1" t="s">
        <v>9</v>
      </c>
      <c r="K25" s="1" t="s">
        <v>73</v>
      </c>
      <c r="L25" s="1" t="s">
        <v>11</v>
      </c>
      <c r="M25" s="1" t="s">
        <v>12</v>
      </c>
      <c r="N25" s="1" t="s">
        <v>13</v>
      </c>
      <c r="O25" s="1" t="s">
        <v>140</v>
      </c>
      <c r="P25" s="1" t="s">
        <v>15</v>
      </c>
      <c r="Q25" s="1" t="s">
        <v>113</v>
      </c>
      <c r="R25" s="1" t="s">
        <v>17</v>
      </c>
      <c r="S25" s="2" t="s">
        <v>141</v>
      </c>
      <c r="T25" s="1" t="s">
        <v>19</v>
      </c>
      <c r="U25" s="1" t="s">
        <v>32</v>
      </c>
      <c r="V25" s="3" t="s">
        <v>21</v>
      </c>
      <c r="W25" s="3" t="s">
        <v>142</v>
      </c>
      <c r="X25" s="1"/>
      <c r="Y25" s="1"/>
      <c r="Z25" s="1"/>
      <c r="AA25" s="1"/>
      <c r="AB25" s="1"/>
      <c r="AC25" s="1"/>
      <c r="AD25" s="1"/>
      <c r="AE25" s="1" t="s">
        <v>143</v>
      </c>
    </row>
    <row r="26" spans="1:31" ht="15">
      <c r="A26" s="5" t="s">
        <v>24</v>
      </c>
      <c r="B26" s="5" t="s">
        <v>25</v>
      </c>
      <c r="C26" s="5" t="s">
        <v>20</v>
      </c>
      <c r="D26" s="5" t="s">
        <v>26</v>
      </c>
      <c r="E26" s="5" t="s">
        <v>27</v>
      </c>
      <c r="F26" s="5" t="s">
        <v>28</v>
      </c>
      <c r="G26" s="5" t="s">
        <v>29</v>
      </c>
      <c r="H26" s="4" t="s">
        <v>30</v>
      </c>
      <c r="I26" s="5" t="s">
        <v>31</v>
      </c>
      <c r="J26" s="5" t="s">
        <v>32</v>
      </c>
      <c r="K26" s="5" t="s">
        <v>33</v>
      </c>
      <c r="L26" s="5" t="s">
        <v>34</v>
      </c>
      <c r="M26" s="5" t="s">
        <v>35</v>
      </c>
      <c r="N26" s="5" t="s">
        <v>36</v>
      </c>
      <c r="O26" s="5" t="s">
        <v>37</v>
      </c>
      <c r="P26" s="5" t="s">
        <v>38</v>
      </c>
      <c r="Q26" s="5" t="s">
        <v>39</v>
      </c>
      <c r="R26" s="5" t="s">
        <v>40</v>
      </c>
      <c r="S26" s="5" t="s">
        <v>41</v>
      </c>
      <c r="T26" s="5" t="s">
        <v>42</v>
      </c>
      <c r="U26" s="5" t="s">
        <v>43</v>
      </c>
      <c r="V26" s="5" t="s">
        <v>44</v>
      </c>
      <c r="W26" s="5" t="s">
        <v>45</v>
      </c>
      <c r="X26" s="5" t="s">
        <v>46</v>
      </c>
      <c r="Y26" s="5" t="s">
        <v>47</v>
      </c>
      <c r="Z26" s="5" t="s">
        <v>48</v>
      </c>
      <c r="AA26" s="5" t="s">
        <v>49</v>
      </c>
      <c r="AB26" s="5" t="s">
        <v>50</v>
      </c>
      <c r="AC26" s="5" t="s">
        <v>51</v>
      </c>
      <c r="AD26" s="5" t="s">
        <v>52</v>
      </c>
      <c r="AE26" s="5" t="s">
        <v>53</v>
      </c>
    </row>
    <row r="27" spans="1:31" ht="75">
      <c r="A27" s="6" t="s">
        <v>100</v>
      </c>
      <c r="B27" s="6" t="s">
        <v>100</v>
      </c>
      <c r="C27" s="6" t="s">
        <v>37</v>
      </c>
      <c r="D27" s="6" t="s">
        <v>144</v>
      </c>
      <c r="E27" s="6" t="s">
        <v>56</v>
      </c>
      <c r="F27" s="6" t="s">
        <v>102</v>
      </c>
      <c r="G27" s="6" t="s">
        <v>60</v>
      </c>
      <c r="H27" s="6" t="s">
        <v>145</v>
      </c>
      <c r="I27" s="6" t="s">
        <v>80</v>
      </c>
      <c r="J27" s="6" t="s">
        <v>81</v>
      </c>
      <c r="K27" s="6" t="s">
        <v>62</v>
      </c>
      <c r="L27" s="6" t="s">
        <v>60</v>
      </c>
      <c r="M27" s="6" t="s">
        <v>55</v>
      </c>
      <c r="N27" s="6" t="s">
        <v>63</v>
      </c>
      <c r="O27" s="6" t="s">
        <v>146</v>
      </c>
      <c r="P27" s="6" t="s">
        <v>57</v>
      </c>
      <c r="Q27" s="6" t="s">
        <v>147</v>
      </c>
      <c r="R27" s="6" t="s">
        <v>55</v>
      </c>
      <c r="S27" s="6" t="s">
        <v>56</v>
      </c>
      <c r="T27" s="6" t="s">
        <v>63</v>
      </c>
      <c r="U27" s="6" t="s">
        <v>148</v>
      </c>
      <c r="V27" s="6" t="s">
        <v>149</v>
      </c>
      <c r="W27" s="6" t="s">
        <v>150</v>
      </c>
      <c r="X27" s="6" t="s">
        <v>151</v>
      </c>
      <c r="Y27" s="6" t="s">
        <v>152</v>
      </c>
      <c r="Z27" s="6" t="s">
        <v>153</v>
      </c>
      <c r="AA27" s="6" t="s">
        <v>60</v>
      </c>
      <c r="AB27" s="6" t="s">
        <v>60</v>
      </c>
      <c r="AC27" s="6" t="s">
        <v>60</v>
      </c>
      <c r="AD27" s="6" t="s">
        <v>38</v>
      </c>
      <c r="AE27" s="6" t="s">
        <v>100</v>
      </c>
    </row>
    <row r="28" spans="1:31" ht="15">
      <c r="A28" s="6"/>
      <c r="B28" s="6"/>
      <c r="C28" s="6" t="str">
        <f>HYPERLINK("#A35", "鈴木AT")</f>
        <v>鈴木AT</v>
      </c>
      <c r="D28" s="6"/>
      <c r="E28" s="6"/>
      <c r="F28" s="6"/>
      <c r="G28" s="6"/>
      <c r="H28" s="6" t="str">
        <f>HYPERLINK("#A127", "荒井TA")</f>
        <v>荒井TA</v>
      </c>
      <c r="I28" s="6" t="str">
        <f>HYPERLINK("#A127", "荒井TA")</f>
        <v>荒井TA</v>
      </c>
      <c r="J28" s="6" t="str">
        <f>HYPERLINK("#A127", "荒井TA")</f>
        <v>荒井TA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 t="str">
        <f>HYPERLINK("#A1475", "宮島SM")</f>
        <v>宮島SM</v>
      </c>
      <c r="X28" s="6" t="str">
        <f>HYPERLINK("#A1475", "宮島SM")</f>
        <v>宮島SM</v>
      </c>
      <c r="Y28" s="6" t="str">
        <f>HYPERLINK("#A1475", "宮島SM")</f>
        <v>宮島SM</v>
      </c>
      <c r="Z28" s="7" t="str">
        <f>HYPERLINK("#A913", "木村DA")</f>
        <v>木村DA</v>
      </c>
      <c r="AA28" s="6"/>
      <c r="AB28" s="6"/>
      <c r="AC28" s="6"/>
      <c r="AD28" s="7" t="str">
        <f>HYPERLINK("#A966", "若村")</f>
        <v>若村</v>
      </c>
      <c r="AE28" s="6"/>
    </row>
    <row r="29" spans="1:31" ht="15">
      <c r="A29" s="6"/>
      <c r="B29" s="6"/>
      <c r="C29" s="6" t="str">
        <f>HYPERLINK("#A1279", "中山YS")</f>
        <v>中山YS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 t="str">
        <f>HYPERLINK("#A70", "武田RY")</f>
        <v>武田RY</v>
      </c>
      <c r="AE29" s="6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恒昌 南雲</cp:lastModifiedBy>
  <dcterms:created xsi:type="dcterms:W3CDTF">2025-07-13T12:13:47Z</dcterms:created>
  <dcterms:modified xsi:type="dcterms:W3CDTF">2025-07-14T02:23:13Z</dcterms:modified>
</cp:coreProperties>
</file>